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E9FADC0E227B2CA/Documents/"/>
    </mc:Choice>
  </mc:AlternateContent>
  <xr:revisionPtr revIDLastSave="0" documentId="8_{EBB60850-0836-4FFA-B667-21A65851EC37}" xr6:coauthVersionLast="47" xr6:coauthVersionMax="47" xr10:uidLastSave="{00000000-0000-0000-0000-000000000000}"/>
  <bookViews>
    <workbookView xWindow="14805" yWindow="690" windowWidth="23595" windowHeight="19980" tabRatio="500" firstSheet="6" activeTab="6" xr2:uid="{00000000-000D-0000-FFFF-FFFF00000000}"/>
  </bookViews>
  <sheets>
    <sheet name="Cover &amp; Assumptions" sheetId="1" r:id="rId1"/>
    <sheet name="Financial Statements" sheetId="2" r:id="rId2"/>
    <sheet name="Working Capital Trend Analysis" sheetId="9" r:id="rId3"/>
    <sheet name="Base Case" sheetId="3" r:id="rId4"/>
    <sheet name="Scenario 1-Slow Collections" sheetId="4" r:id="rId5"/>
    <sheet name="Scenario 2-Seasonal Pressure" sheetId="5" r:id="rId6"/>
    <sheet name="Scenario 3-Process Improvement" sheetId="6" r:id="rId7"/>
    <sheet name="Scenario Comparison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3" l="1"/>
  <c r="D91" i="2"/>
  <c r="E91" i="2"/>
  <c r="F91" i="2"/>
  <c r="C91" i="2"/>
  <c r="D98" i="2" l="1"/>
  <c r="E98" i="2"/>
  <c r="F98" i="2"/>
  <c r="D11" i="1"/>
  <c r="E11" i="1"/>
  <c r="F11" i="1"/>
  <c r="D10" i="1"/>
  <c r="E10" i="1"/>
  <c r="F10" i="1"/>
  <c r="C10" i="1"/>
  <c r="P23" i="6"/>
  <c r="M23" i="6"/>
  <c r="J23" i="6"/>
  <c r="G23" i="6"/>
  <c r="P23" i="5"/>
  <c r="M23" i="5"/>
  <c r="J23" i="5"/>
  <c r="G23" i="5"/>
  <c r="P23" i="4"/>
  <c r="M23" i="4"/>
  <c r="J23" i="4"/>
  <c r="G23" i="4"/>
  <c r="P23" i="3"/>
  <c r="M23" i="3"/>
  <c r="J23" i="3"/>
  <c r="G23" i="3"/>
  <c r="D102" i="2"/>
  <c r="E102" i="2"/>
  <c r="F102" i="2"/>
  <c r="C102" i="2"/>
  <c r="C16" i="9"/>
  <c r="D16" i="9"/>
  <c r="E16" i="9"/>
  <c r="C14" i="9"/>
  <c r="D14" i="9"/>
  <c r="E14" i="9"/>
  <c r="B14" i="9"/>
  <c r="D15" i="1" l="1"/>
  <c r="E15" i="1"/>
  <c r="F15" i="1"/>
  <c r="C15" i="1"/>
  <c r="F14" i="1"/>
  <c r="E14" i="1"/>
  <c r="D14" i="1"/>
  <c r="C14" i="1"/>
  <c r="D13" i="1"/>
  <c r="E13" i="1"/>
  <c r="F13" i="1"/>
  <c r="C13" i="1"/>
  <c r="D12" i="1"/>
  <c r="E12" i="1"/>
  <c r="F12" i="1"/>
  <c r="C12" i="1"/>
  <c r="C28" i="6"/>
  <c r="C19" i="6"/>
  <c r="C17" i="6"/>
  <c r="C13" i="6"/>
  <c r="C28" i="5"/>
  <c r="E5" i="7" s="1"/>
  <c r="C19" i="5"/>
  <c r="C17" i="5"/>
  <c r="C13" i="5"/>
  <c r="C28" i="4"/>
  <c r="D5" i="7" s="1"/>
  <c r="C19" i="4"/>
  <c r="C17" i="4"/>
  <c r="C13" i="4"/>
  <c r="D7" i="1"/>
  <c r="E7" i="1"/>
  <c r="F7" i="1"/>
  <c r="C7" i="1"/>
  <c r="D6" i="1"/>
  <c r="E6" i="1"/>
  <c r="F6" i="1"/>
  <c r="C6" i="1"/>
  <c r="C8" i="2"/>
  <c r="D8" i="2"/>
  <c r="E8" i="2"/>
  <c r="F8" i="2"/>
  <c r="C13" i="2"/>
  <c r="D13" i="2"/>
  <c r="E13" i="2"/>
  <c r="F13" i="2"/>
  <c r="C38" i="2"/>
  <c r="C44" i="2" s="1"/>
  <c r="D38" i="2"/>
  <c r="D44" i="2" s="1"/>
  <c r="C52" i="2"/>
  <c r="C57" i="2" s="1"/>
  <c r="D52" i="2"/>
  <c r="D57" i="2" s="1"/>
  <c r="E57" i="2"/>
  <c r="F57" i="2"/>
  <c r="C66" i="2"/>
  <c r="C98" i="2" s="1"/>
  <c r="C71" i="2"/>
  <c r="C76" i="2"/>
  <c r="C11" i="1" s="1"/>
  <c r="D78" i="2"/>
  <c r="C92" i="2"/>
  <c r="B4" i="9" s="1"/>
  <c r="D92" i="2"/>
  <c r="C4" i="9" s="1"/>
  <c r="E92" i="2"/>
  <c r="D4" i="9" s="1"/>
  <c r="F92" i="2"/>
  <c r="E4" i="9" s="1"/>
  <c r="C93" i="2"/>
  <c r="B6" i="9" s="1"/>
  <c r="D93" i="2"/>
  <c r="C6" i="9" s="1"/>
  <c r="E93" i="2"/>
  <c r="D6" i="9" s="1"/>
  <c r="F93" i="2"/>
  <c r="E6" i="9" s="1"/>
  <c r="C94" i="2"/>
  <c r="B8" i="9" s="1"/>
  <c r="D94" i="2"/>
  <c r="C8" i="9" s="1"/>
  <c r="E94" i="2"/>
  <c r="D8" i="9" s="1"/>
  <c r="F94" i="2"/>
  <c r="E8" i="9" s="1"/>
  <c r="C96" i="2"/>
  <c r="D96" i="2"/>
  <c r="E96" i="2"/>
  <c r="F96" i="2"/>
  <c r="C97" i="2"/>
  <c r="D97" i="2"/>
  <c r="E97" i="2"/>
  <c r="F97" i="2"/>
  <c r="D99" i="2"/>
  <c r="E99" i="2"/>
  <c r="F99" i="2"/>
  <c r="C100" i="2"/>
  <c r="D100" i="2"/>
  <c r="E100" i="2"/>
  <c r="F100" i="2"/>
  <c r="E9" i="2" l="1"/>
  <c r="D12" i="9"/>
  <c r="D9" i="2"/>
  <c r="C12" i="9"/>
  <c r="D22" i="6"/>
  <c r="O22" i="4"/>
  <c r="M22" i="5"/>
  <c r="F22" i="6"/>
  <c r="H22" i="4"/>
  <c r="N22" i="6"/>
  <c r="N22" i="4"/>
  <c r="E22" i="5"/>
  <c r="P22" i="4"/>
  <c r="G22" i="6"/>
  <c r="K22" i="6"/>
  <c r="F22" i="5"/>
  <c r="D22" i="4"/>
  <c r="F22" i="4"/>
  <c r="K22" i="4"/>
  <c r="O22" i="6"/>
  <c r="G22" i="5"/>
  <c r="E22" i="3"/>
  <c r="H22" i="5"/>
  <c r="F22" i="3"/>
  <c r="I22" i="5"/>
  <c r="G22" i="3"/>
  <c r="K22" i="3"/>
  <c r="J22" i="5"/>
  <c r="H22" i="3"/>
  <c r="O22" i="3"/>
  <c r="K22" i="5"/>
  <c r="I22" i="3"/>
  <c r="N22" i="3"/>
  <c r="P22" i="3"/>
  <c r="J22" i="6"/>
  <c r="L22" i="5"/>
  <c r="J22" i="3"/>
  <c r="E22" i="4"/>
  <c r="I22" i="6"/>
  <c r="M22" i="4"/>
  <c r="N22" i="5"/>
  <c r="L22" i="3"/>
  <c r="O22" i="5"/>
  <c r="M22" i="3"/>
  <c r="D22" i="5"/>
  <c r="H22" i="6"/>
  <c r="I22" i="4"/>
  <c r="E22" i="6"/>
  <c r="P22" i="5"/>
  <c r="D22" i="3"/>
  <c r="G22" i="4"/>
  <c r="L22" i="4"/>
  <c r="P22" i="6"/>
  <c r="L22" i="6"/>
  <c r="J22" i="4"/>
  <c r="M22" i="6"/>
  <c r="C9" i="2"/>
  <c r="B12" i="9"/>
  <c r="F9" i="2"/>
  <c r="E12" i="9"/>
  <c r="C78" i="2"/>
  <c r="C87" i="2" s="1"/>
  <c r="C89" i="2" s="1"/>
  <c r="B16" i="9"/>
  <c r="F14" i="2"/>
  <c r="F15" i="2" s="1"/>
  <c r="F8" i="1"/>
  <c r="E8" i="1"/>
  <c r="E14" i="2"/>
  <c r="E15" i="2" s="1"/>
  <c r="D14" i="2"/>
  <c r="D19" i="2" s="1"/>
  <c r="D101" i="2" s="1"/>
  <c r="D8" i="1"/>
  <c r="C99" i="2"/>
  <c r="C14" i="2"/>
  <c r="C15" i="2" s="1"/>
  <c r="C8" i="1"/>
  <c r="D15" i="2"/>
  <c r="E95" i="2"/>
  <c r="C95" i="2"/>
  <c r="F95" i="2"/>
  <c r="D95" i="2"/>
  <c r="F19" i="2" l="1"/>
  <c r="C19" i="2"/>
  <c r="E19" i="2"/>
  <c r="E21" i="2"/>
  <c r="D22" i="2"/>
  <c r="D23" i="2" s="1"/>
  <c r="D21" i="2"/>
  <c r="C21" i="2"/>
  <c r="C22" i="2"/>
  <c r="C23" i="2" s="1"/>
  <c r="C101" i="2"/>
  <c r="E22" i="2" l="1"/>
  <c r="E23" i="2" s="1"/>
  <c r="E101" i="2"/>
  <c r="F21" i="2"/>
  <c r="F101" i="2"/>
  <c r="F22" i="2"/>
  <c r="F23" i="2" s="1"/>
  <c r="C28" i="3"/>
  <c r="C5" i="7" s="1"/>
  <c r="C19" i="3"/>
  <c r="C17" i="3"/>
  <c r="C13" i="3"/>
  <c r="P10" i="3"/>
  <c r="F16" i="9"/>
  <c r="F14" i="9"/>
  <c r="D18" i="1"/>
  <c r="E18" i="1"/>
  <c r="F18" i="1"/>
  <c r="C18" i="1"/>
  <c r="F17" i="1"/>
  <c r="E17" i="1"/>
  <c r="D17" i="1"/>
  <c r="C17" i="1"/>
  <c r="F6" i="9" s="1"/>
  <c r="D16" i="1"/>
  <c r="C10" i="9" s="1"/>
  <c r="E16" i="1"/>
  <c r="D10" i="9" s="1"/>
  <c r="F16" i="1"/>
  <c r="E10" i="9" s="1"/>
  <c r="C16" i="1"/>
  <c r="C9" i="1"/>
  <c r="F12" i="9" s="1"/>
  <c r="E9" i="1"/>
  <c r="F9" i="1"/>
  <c r="D9" i="1"/>
  <c r="P10" i="5" l="1"/>
  <c r="P24" i="5" s="1"/>
  <c r="P10" i="4"/>
  <c r="P24" i="4" s="1"/>
  <c r="P24" i="3"/>
  <c r="P10" i="6"/>
  <c r="P24" i="6" s="1"/>
  <c r="B7" i="9"/>
  <c r="D7" i="9"/>
  <c r="C7" i="9"/>
  <c r="E7" i="9"/>
  <c r="B13" i="9"/>
  <c r="C13" i="9"/>
  <c r="D13" i="9"/>
  <c r="E13" i="9"/>
  <c r="B15" i="9"/>
  <c r="E15" i="9"/>
  <c r="C15" i="9"/>
  <c r="D15" i="9"/>
  <c r="F8" i="9"/>
  <c r="B17" i="9"/>
  <c r="C17" i="9"/>
  <c r="D17" i="9"/>
  <c r="E17" i="9"/>
  <c r="F4" i="9"/>
  <c r="E10" i="3"/>
  <c r="F10" i="3"/>
  <c r="N10" i="3"/>
  <c r="H10" i="3"/>
  <c r="J10" i="3"/>
  <c r="L10" i="3"/>
  <c r="G10" i="3"/>
  <c r="O10" i="3"/>
  <c r="K10" i="3"/>
  <c r="M10" i="3"/>
  <c r="I10" i="3"/>
  <c r="D10" i="3"/>
  <c r="B10" i="9"/>
  <c r="F10" i="9" s="1"/>
  <c r="M24" i="3" l="1"/>
  <c r="M10" i="4"/>
  <c r="M24" i="4" s="1"/>
  <c r="M10" i="6"/>
  <c r="M24" i="6" s="1"/>
  <c r="M10" i="5"/>
  <c r="M24" i="5" s="1"/>
  <c r="E10" i="4"/>
  <c r="E24" i="4" s="1"/>
  <c r="E10" i="6"/>
  <c r="E24" i="6" s="1"/>
  <c r="E10" i="5"/>
  <c r="E24" i="5" s="1"/>
  <c r="E24" i="3"/>
  <c r="I24" i="3"/>
  <c r="I10" i="4"/>
  <c r="I24" i="4" s="1"/>
  <c r="I10" i="5"/>
  <c r="I24" i="5" s="1"/>
  <c r="I10" i="6"/>
  <c r="I24" i="6" s="1"/>
  <c r="O24" i="3"/>
  <c r="O10" i="5"/>
  <c r="O24" i="5" s="1"/>
  <c r="O10" i="4"/>
  <c r="O24" i="4" s="1"/>
  <c r="O10" i="6"/>
  <c r="O24" i="6" s="1"/>
  <c r="G24" i="3"/>
  <c r="G10" i="4"/>
  <c r="G24" i="4" s="1"/>
  <c r="G10" i="6"/>
  <c r="G24" i="6" s="1"/>
  <c r="G10" i="5"/>
  <c r="G24" i="5" s="1"/>
  <c r="J24" i="3"/>
  <c r="J10" i="4"/>
  <c r="J24" i="4" s="1"/>
  <c r="J10" i="5"/>
  <c r="J24" i="5" s="1"/>
  <c r="J10" i="6"/>
  <c r="J24" i="6" s="1"/>
  <c r="F24" i="3"/>
  <c r="F10" i="4"/>
  <c r="F24" i="4" s="1"/>
  <c r="F10" i="6"/>
  <c r="F24" i="6" s="1"/>
  <c r="F10" i="5"/>
  <c r="F24" i="5" s="1"/>
  <c r="D10" i="6"/>
  <c r="D24" i="6" s="1"/>
  <c r="D10" i="5"/>
  <c r="D24" i="5" s="1"/>
  <c r="D24" i="3"/>
  <c r="D10" i="4"/>
  <c r="D24" i="4" s="1"/>
  <c r="K10" i="6"/>
  <c r="K24" i="6" s="1"/>
  <c r="K24" i="3"/>
  <c r="K10" i="4"/>
  <c r="K24" i="4" s="1"/>
  <c r="K10" i="5"/>
  <c r="K24" i="5" s="1"/>
  <c r="H10" i="6"/>
  <c r="H24" i="6" s="1"/>
  <c r="H10" i="5"/>
  <c r="H24" i="5" s="1"/>
  <c r="H24" i="3"/>
  <c r="H10" i="4"/>
  <c r="H24" i="4" s="1"/>
  <c r="L10" i="6"/>
  <c r="L24" i="6" s="1"/>
  <c r="L10" i="4"/>
  <c r="L24" i="4" s="1"/>
  <c r="L24" i="3"/>
  <c r="L10" i="5"/>
  <c r="L24" i="5" s="1"/>
  <c r="N10" i="5"/>
  <c r="N24" i="5" s="1"/>
  <c r="N10" i="4"/>
  <c r="N24" i="4" s="1"/>
  <c r="N24" i="3"/>
  <c r="N10" i="6"/>
  <c r="N24" i="6" s="1"/>
  <c r="C5" i="9"/>
  <c r="D5" i="9"/>
  <c r="E5" i="9"/>
  <c r="B5" i="9"/>
  <c r="C11" i="9"/>
  <c r="B11" i="9"/>
  <c r="D11" i="9"/>
  <c r="E11" i="9"/>
  <c r="C9" i="9"/>
  <c r="B9" i="9"/>
  <c r="D9" i="9"/>
  <c r="E9" i="9"/>
  <c r="D28" i="6"/>
  <c r="F5" i="7" s="1"/>
  <c r="Q23" i="6"/>
  <c r="Q22" i="6"/>
  <c r="D28" i="5"/>
  <c r="Q23" i="5"/>
  <c r="Q22" i="5"/>
  <c r="D28" i="4"/>
  <c r="Q23" i="4"/>
  <c r="Q22" i="4"/>
  <c r="D28" i="3"/>
  <c r="Q23" i="3"/>
  <c r="Q22" i="3"/>
  <c r="Q24" i="5" l="1"/>
  <c r="Q24" i="3"/>
  <c r="Q24" i="6"/>
  <c r="Q24" i="4"/>
  <c r="P6" i="3"/>
  <c r="H6" i="3"/>
  <c r="I6" i="3"/>
  <c r="D6" i="3"/>
  <c r="J6" i="3"/>
  <c r="M6" i="3"/>
  <c r="K6" i="3"/>
  <c r="L6" i="3"/>
  <c r="E6" i="3"/>
  <c r="F6" i="3"/>
  <c r="O6" i="3"/>
  <c r="G6" i="3"/>
  <c r="N6" i="3"/>
  <c r="E7" i="3"/>
  <c r="D7" i="3"/>
  <c r="O7" i="3"/>
  <c r="F7" i="3"/>
  <c r="G7" i="3"/>
  <c r="H7" i="3"/>
  <c r="I7" i="3"/>
  <c r="J7" i="3"/>
  <c r="K7" i="3"/>
  <c r="L7" i="3"/>
  <c r="P7" i="3"/>
  <c r="M7" i="3"/>
  <c r="N7" i="3"/>
  <c r="P8" i="3"/>
  <c r="D8" i="3"/>
  <c r="J8" i="3"/>
  <c r="N8" i="3"/>
  <c r="H8" i="3"/>
  <c r="K8" i="3"/>
  <c r="E8" i="3"/>
  <c r="F8" i="3"/>
  <c r="I8" i="3"/>
  <c r="L8" i="3"/>
  <c r="G8" i="3"/>
  <c r="M8" i="3"/>
  <c r="O8" i="3"/>
  <c r="L9" i="3"/>
  <c r="E9" i="3"/>
  <c r="F9" i="3"/>
  <c r="G9" i="3"/>
  <c r="N9" i="3"/>
  <c r="P9" i="3"/>
  <c r="H9" i="3"/>
  <c r="D9" i="3"/>
  <c r="I9" i="3"/>
  <c r="M9" i="3"/>
  <c r="J9" i="3"/>
  <c r="O9" i="3"/>
  <c r="K9" i="3"/>
  <c r="Q28" i="6"/>
  <c r="Q28" i="5"/>
  <c r="Q28" i="4"/>
  <c r="Q28" i="3"/>
  <c r="N6" i="5" l="1"/>
  <c r="N21" i="5" s="1"/>
  <c r="N6" i="6"/>
  <c r="N21" i="6" s="1"/>
  <c r="N21" i="3"/>
  <c r="N6" i="4"/>
  <c r="N21" i="4" s="1"/>
  <c r="O6" i="5"/>
  <c r="O21" i="5" s="1"/>
  <c r="O6" i="4"/>
  <c r="O21" i="4" s="1"/>
  <c r="O21" i="3"/>
  <c r="O6" i="6"/>
  <c r="O21" i="6" s="1"/>
  <c r="P6" i="6"/>
  <c r="P21" i="6" s="1"/>
  <c r="P6" i="4"/>
  <c r="P21" i="4" s="1"/>
  <c r="P6" i="5"/>
  <c r="P21" i="5" s="1"/>
  <c r="P21" i="3"/>
  <c r="G6" i="5"/>
  <c r="G21" i="5" s="1"/>
  <c r="G21" i="3"/>
  <c r="G6" i="6"/>
  <c r="G21" i="6" s="1"/>
  <c r="G6" i="4"/>
  <c r="G21" i="4" s="1"/>
  <c r="L21" i="3"/>
  <c r="L6" i="5"/>
  <c r="L21" i="5" s="1"/>
  <c r="L6" i="6"/>
  <c r="L21" i="6" s="1"/>
  <c r="L6" i="4"/>
  <c r="L21" i="4" s="1"/>
  <c r="J21" i="3"/>
  <c r="J6" i="6"/>
  <c r="J21" i="6" s="1"/>
  <c r="J6" i="5"/>
  <c r="J21" i="5" s="1"/>
  <c r="J6" i="4"/>
  <c r="J21" i="4" s="1"/>
  <c r="E6" i="5"/>
  <c r="E21" i="5" s="1"/>
  <c r="E6" i="6"/>
  <c r="E21" i="6" s="1"/>
  <c r="E21" i="3"/>
  <c r="E6" i="4"/>
  <c r="E21" i="4" s="1"/>
  <c r="K6" i="5"/>
  <c r="K21" i="5" s="1"/>
  <c r="K21" i="3"/>
  <c r="K6" i="6"/>
  <c r="K21" i="6" s="1"/>
  <c r="K6" i="4"/>
  <c r="K21" i="4" s="1"/>
  <c r="D6" i="6"/>
  <c r="D21" i="6" s="1"/>
  <c r="D6" i="4"/>
  <c r="D21" i="4" s="1"/>
  <c r="D6" i="5"/>
  <c r="D21" i="5" s="1"/>
  <c r="D21" i="3"/>
  <c r="H6" i="5"/>
  <c r="H21" i="5" s="1"/>
  <c r="H6" i="6"/>
  <c r="H21" i="6" s="1"/>
  <c r="H6" i="4"/>
  <c r="H21" i="4" s="1"/>
  <c r="H21" i="3"/>
  <c r="F21" i="3"/>
  <c r="F6" i="5"/>
  <c r="F21" i="5" s="1"/>
  <c r="F6" i="6"/>
  <c r="F21" i="6" s="1"/>
  <c r="F6" i="4"/>
  <c r="F21" i="4" s="1"/>
  <c r="M6" i="5"/>
  <c r="M21" i="5" s="1"/>
  <c r="M6" i="6"/>
  <c r="M21" i="6" s="1"/>
  <c r="M6" i="4"/>
  <c r="M21" i="4" s="1"/>
  <c r="M21" i="3"/>
  <c r="I6" i="5"/>
  <c r="I21" i="5" s="1"/>
  <c r="I6" i="4"/>
  <c r="I21" i="4" s="1"/>
  <c r="I21" i="3"/>
  <c r="I6" i="6"/>
  <c r="I21" i="6" s="1"/>
  <c r="G9" i="6"/>
  <c r="G9" i="5"/>
  <c r="G9" i="4"/>
  <c r="O7" i="4"/>
  <c r="O7" i="5"/>
  <c r="O7" i="6"/>
  <c r="I8" i="4"/>
  <c r="I17" i="4" s="1"/>
  <c r="I17" i="3"/>
  <c r="I8" i="5"/>
  <c r="I17" i="5" s="1"/>
  <c r="I8" i="6"/>
  <c r="I17" i="6" s="1"/>
  <c r="H7" i="5"/>
  <c r="H7" i="6"/>
  <c r="H7" i="4"/>
  <c r="E9" i="6"/>
  <c r="E9" i="5"/>
  <c r="E9" i="4"/>
  <c r="D15" i="3"/>
  <c r="D7" i="6"/>
  <c r="D12" i="6" s="1"/>
  <c r="D7" i="4"/>
  <c r="D12" i="4" s="1"/>
  <c r="D7" i="5"/>
  <c r="D12" i="5" s="1"/>
  <c r="K17" i="3"/>
  <c r="K8" i="4"/>
  <c r="K8" i="6"/>
  <c r="K8" i="5"/>
  <c r="P9" i="5"/>
  <c r="P9" i="6"/>
  <c r="P9" i="4"/>
  <c r="I7" i="4"/>
  <c r="I7" i="5"/>
  <c r="I7" i="6"/>
  <c r="F9" i="5"/>
  <c r="F9" i="4"/>
  <c r="F9" i="6"/>
  <c r="L9" i="6"/>
  <c r="L9" i="5"/>
  <c r="L9" i="4"/>
  <c r="J9" i="6"/>
  <c r="J9" i="5"/>
  <c r="J9" i="4"/>
  <c r="J7" i="5"/>
  <c r="J7" i="4"/>
  <c r="J7" i="6"/>
  <c r="G7" i="6"/>
  <c r="G7" i="5"/>
  <c r="G7" i="4"/>
  <c r="F17" i="3"/>
  <c r="F8" i="5"/>
  <c r="F8" i="6"/>
  <c r="F8" i="4"/>
  <c r="N8" i="6"/>
  <c r="N17" i="6" s="1"/>
  <c r="N8" i="4"/>
  <c r="N17" i="4" s="1"/>
  <c r="N8" i="5"/>
  <c r="N17" i="5" s="1"/>
  <c r="N17" i="3"/>
  <c r="P8" i="4"/>
  <c r="P17" i="4" s="1"/>
  <c r="P8" i="6"/>
  <c r="P17" i="6" s="1"/>
  <c r="P8" i="5"/>
  <c r="P17" i="5" s="1"/>
  <c r="P17" i="3"/>
  <c r="M7" i="5"/>
  <c r="M7" i="6"/>
  <c r="M7" i="4"/>
  <c r="N9" i="6"/>
  <c r="N9" i="4"/>
  <c r="N9" i="5"/>
  <c r="E7" i="5"/>
  <c r="E7" i="4"/>
  <c r="E7" i="6"/>
  <c r="D17" i="3"/>
  <c r="D18" i="3" s="1"/>
  <c r="D8" i="4"/>
  <c r="D17" i="4" s="1"/>
  <c r="D18" i="4" s="1"/>
  <c r="D8" i="5"/>
  <c r="D8" i="6"/>
  <c r="P7" i="6"/>
  <c r="P7" i="4"/>
  <c r="P7" i="5"/>
  <c r="F7" i="5"/>
  <c r="F7" i="4"/>
  <c r="F7" i="6"/>
  <c r="M8" i="4"/>
  <c r="M17" i="3"/>
  <c r="M8" i="5"/>
  <c r="M8" i="6"/>
  <c r="L8" i="6"/>
  <c r="L8" i="4"/>
  <c r="L8" i="5"/>
  <c r="L17" i="3"/>
  <c r="E8" i="5"/>
  <c r="E17" i="5" s="1"/>
  <c r="E17" i="3"/>
  <c r="E8" i="6"/>
  <c r="E17" i="6" s="1"/>
  <c r="E8" i="4"/>
  <c r="E17" i="4" s="1"/>
  <c r="J8" i="4"/>
  <c r="J8" i="5"/>
  <c r="J8" i="6"/>
  <c r="J17" i="3"/>
  <c r="J18" i="3" s="1"/>
  <c r="D20" i="3"/>
  <c r="D9" i="5"/>
  <c r="D20" i="5" s="1"/>
  <c r="D9" i="6"/>
  <c r="D20" i="6" s="1"/>
  <c r="D9" i="4"/>
  <c r="D20" i="4" s="1"/>
  <c r="L7" i="5"/>
  <c r="L7" i="4"/>
  <c r="L7" i="6"/>
  <c r="O17" i="3"/>
  <c r="O8" i="4"/>
  <c r="O17" i="4" s="1"/>
  <c r="O8" i="5"/>
  <c r="O17" i="5" s="1"/>
  <c r="O8" i="6"/>
  <c r="O17" i="6" s="1"/>
  <c r="G8" i="4"/>
  <c r="G17" i="3"/>
  <c r="G8" i="5"/>
  <c r="G17" i="5" s="1"/>
  <c r="G8" i="6"/>
  <c r="G17" i="6" s="1"/>
  <c r="H17" i="3"/>
  <c r="H8" i="4"/>
  <c r="H17" i="4" s="1"/>
  <c r="H8" i="5"/>
  <c r="H17" i="5" s="1"/>
  <c r="H18" i="5" s="1"/>
  <c r="H8" i="6"/>
  <c r="H17" i="6" s="1"/>
  <c r="H18" i="6" s="1"/>
  <c r="K9" i="5"/>
  <c r="K9" i="6"/>
  <c r="K9" i="4"/>
  <c r="O9" i="5"/>
  <c r="O9" i="4"/>
  <c r="O9" i="6"/>
  <c r="N7" i="4"/>
  <c r="N7" i="6"/>
  <c r="N7" i="5"/>
  <c r="M9" i="6"/>
  <c r="M9" i="5"/>
  <c r="M9" i="4"/>
  <c r="I9" i="6"/>
  <c r="I9" i="4"/>
  <c r="I9" i="5"/>
  <c r="H9" i="6"/>
  <c r="H9" i="5"/>
  <c r="H9" i="4"/>
  <c r="K7" i="6"/>
  <c r="K7" i="4"/>
  <c r="K7" i="5"/>
  <c r="J17" i="5" l="1"/>
  <c r="J18" i="5" s="1"/>
  <c r="Q21" i="5"/>
  <c r="Q21" i="4"/>
  <c r="M17" i="4"/>
  <c r="Q21" i="6"/>
  <c r="L17" i="5"/>
  <c r="G17" i="4"/>
  <c r="H18" i="4"/>
  <c r="L17" i="6"/>
  <c r="F17" i="4"/>
  <c r="F18" i="4" s="1"/>
  <c r="J17" i="6"/>
  <c r="J18" i="6" s="1"/>
  <c r="L17" i="4"/>
  <c r="M17" i="5"/>
  <c r="M18" i="5" s="1"/>
  <c r="D25" i="4"/>
  <c r="F17" i="6"/>
  <c r="F18" i="6" s="1"/>
  <c r="K17" i="5"/>
  <c r="K18" i="5" s="1"/>
  <c r="M17" i="6"/>
  <c r="N18" i="6" s="1"/>
  <c r="D25" i="6"/>
  <c r="F17" i="5"/>
  <c r="F18" i="5" s="1"/>
  <c r="K17" i="6"/>
  <c r="K18" i="6" s="1"/>
  <c r="J17" i="4"/>
  <c r="J18" i="4" s="1"/>
  <c r="D17" i="6"/>
  <c r="E18" i="6" s="1"/>
  <c r="K17" i="4"/>
  <c r="K18" i="4" s="1"/>
  <c r="D25" i="5"/>
  <c r="F18" i="3"/>
  <c r="D17" i="5"/>
  <c r="D18" i="5" s="1"/>
  <c r="K18" i="3"/>
  <c r="O18" i="6"/>
  <c r="O18" i="5"/>
  <c r="O18" i="4"/>
  <c r="H18" i="3"/>
  <c r="D19" i="3"/>
  <c r="E20" i="3" s="1"/>
  <c r="E25" i="3" s="1"/>
  <c r="D15" i="4"/>
  <c r="D13" i="4"/>
  <c r="E12" i="4" s="1"/>
  <c r="E18" i="4"/>
  <c r="D19" i="4"/>
  <c r="E20" i="4" s="1"/>
  <c r="D15" i="5"/>
  <c r="D13" i="5"/>
  <c r="E12" i="5" s="1"/>
  <c r="I18" i="6"/>
  <c r="I18" i="5"/>
  <c r="I18" i="3"/>
  <c r="D15" i="6"/>
  <c r="D13" i="6"/>
  <c r="E12" i="6" s="1"/>
  <c r="Q17" i="3"/>
  <c r="P18" i="3"/>
  <c r="Q17" i="6"/>
  <c r="P18" i="6"/>
  <c r="I18" i="4"/>
  <c r="G18" i="3"/>
  <c r="M18" i="3"/>
  <c r="P18" i="4"/>
  <c r="Q17" i="4"/>
  <c r="Q17" i="5"/>
  <c r="P18" i="5"/>
  <c r="N18" i="3"/>
  <c r="D19" i="5"/>
  <c r="E20" i="5" s="1"/>
  <c r="E25" i="5" s="1"/>
  <c r="E18" i="3"/>
  <c r="E19" i="3" s="1"/>
  <c r="F20" i="3" s="1"/>
  <c r="N18" i="4"/>
  <c r="L18" i="3"/>
  <c r="D13" i="3"/>
  <c r="E12" i="3" s="1"/>
  <c r="E13" i="3" s="1"/>
  <c r="F12" i="3" s="1"/>
  <c r="F15" i="3" s="1"/>
  <c r="O18" i="3"/>
  <c r="D25" i="3"/>
  <c r="Q21" i="3"/>
  <c r="M18" i="6" l="1"/>
  <c r="N18" i="5"/>
  <c r="L18" i="5"/>
  <c r="M18" i="4"/>
  <c r="Q18" i="4" s="1"/>
  <c r="D27" i="6"/>
  <c r="D29" i="6" s="1"/>
  <c r="D31" i="6" s="1"/>
  <c r="E19" i="4"/>
  <c r="F20" i="4" s="1"/>
  <c r="L18" i="4"/>
  <c r="L18" i="6"/>
  <c r="D27" i="5"/>
  <c r="D29" i="5" s="1"/>
  <c r="E28" i="5" s="1"/>
  <c r="G18" i="4"/>
  <c r="G18" i="5"/>
  <c r="D27" i="4"/>
  <c r="D29" i="4" s="1"/>
  <c r="E28" i="4" s="1"/>
  <c r="D18" i="6"/>
  <c r="Q18" i="6" s="1"/>
  <c r="G18" i="6"/>
  <c r="E18" i="5"/>
  <c r="E19" i="5" s="1"/>
  <c r="F20" i="5" s="1"/>
  <c r="F25" i="5" s="1"/>
  <c r="Q18" i="5"/>
  <c r="E25" i="4"/>
  <c r="E13" i="6"/>
  <c r="F12" i="6" s="1"/>
  <c r="F15" i="6" s="1"/>
  <c r="E15" i="6"/>
  <c r="E13" i="5"/>
  <c r="F12" i="5" s="1"/>
  <c r="F15" i="5" s="1"/>
  <c r="E15" i="5"/>
  <c r="E27" i="5" s="1"/>
  <c r="E13" i="4"/>
  <c r="F12" i="4" s="1"/>
  <c r="F15" i="4" s="1"/>
  <c r="F27" i="4" s="1"/>
  <c r="E15" i="4"/>
  <c r="E15" i="3"/>
  <c r="E27" i="3" s="1"/>
  <c r="Q18" i="3"/>
  <c r="D27" i="3"/>
  <c r="F13" i="3"/>
  <c r="G12" i="3" s="1"/>
  <c r="G13" i="3" s="1"/>
  <c r="E28" i="6"/>
  <c r="F25" i="4"/>
  <c r="F19" i="4"/>
  <c r="F25" i="3"/>
  <c r="F27" i="3" s="1"/>
  <c r="F19" i="3"/>
  <c r="D31" i="5" l="1"/>
  <c r="D31" i="4"/>
  <c r="D19" i="6"/>
  <c r="E20" i="6" s="1"/>
  <c r="F19" i="5"/>
  <c r="G20" i="5" s="1"/>
  <c r="G19" i="5" s="1"/>
  <c r="F13" i="6"/>
  <c r="G12" i="6" s="1"/>
  <c r="G13" i="6" s="1"/>
  <c r="E27" i="4"/>
  <c r="F13" i="4"/>
  <c r="F13" i="5"/>
  <c r="G12" i="5" s="1"/>
  <c r="G13" i="5" s="1"/>
  <c r="F27" i="5"/>
  <c r="E19" i="6"/>
  <c r="E25" i="6"/>
  <c r="E27" i="6" s="1"/>
  <c r="E29" i="6" s="1"/>
  <c r="E31" i="6" s="1"/>
  <c r="D29" i="3"/>
  <c r="H12" i="6"/>
  <c r="G15" i="6"/>
  <c r="G25" i="5"/>
  <c r="H20" i="5"/>
  <c r="H19" i="5" s="1"/>
  <c r="H12" i="3"/>
  <c r="H15" i="3" s="1"/>
  <c r="G15" i="3"/>
  <c r="G20" i="4"/>
  <c r="G19" i="4" s="1"/>
  <c r="G12" i="4"/>
  <c r="G13" i="4" s="1"/>
  <c r="G20" i="3"/>
  <c r="G19" i="3" s="1"/>
  <c r="E29" i="5"/>
  <c r="E29" i="4"/>
  <c r="F20" i="6" l="1"/>
  <c r="F25" i="6" s="1"/>
  <c r="F27" i="6" s="1"/>
  <c r="F28" i="6"/>
  <c r="E28" i="3"/>
  <c r="E29" i="3" s="1"/>
  <c r="D31" i="3"/>
  <c r="H13" i="3"/>
  <c r="I12" i="3" s="1"/>
  <c r="I13" i="3" s="1"/>
  <c r="I20" i="5"/>
  <c r="G15" i="5"/>
  <c r="H12" i="5"/>
  <c r="H20" i="4"/>
  <c r="H25" i="4" s="1"/>
  <c r="G25" i="4"/>
  <c r="G15" i="4"/>
  <c r="H12" i="4"/>
  <c r="H15" i="4" s="1"/>
  <c r="G25" i="3"/>
  <c r="G27" i="3" s="1"/>
  <c r="H20" i="3"/>
  <c r="F28" i="5"/>
  <c r="F29" i="5" s="1"/>
  <c r="E31" i="5"/>
  <c r="F28" i="4"/>
  <c r="F29" i="4" s="1"/>
  <c r="E31" i="4"/>
  <c r="H15" i="6"/>
  <c r="H13" i="6"/>
  <c r="H25" i="5"/>
  <c r="F19" i="6" l="1"/>
  <c r="G20" i="6" s="1"/>
  <c r="F29" i="6"/>
  <c r="H19" i="4"/>
  <c r="I20" i="4" s="1"/>
  <c r="I19" i="4" s="1"/>
  <c r="H13" i="4"/>
  <c r="I12" i="4" s="1"/>
  <c r="I13" i="4" s="1"/>
  <c r="E31" i="3"/>
  <c r="F28" i="3"/>
  <c r="F29" i="3" s="1"/>
  <c r="J12" i="3"/>
  <c r="I15" i="3"/>
  <c r="G27" i="5"/>
  <c r="G27" i="4"/>
  <c r="F31" i="5"/>
  <c r="G28" i="5"/>
  <c r="F31" i="4"/>
  <c r="G28" i="4"/>
  <c r="I12" i="6"/>
  <c r="I13" i="6" s="1"/>
  <c r="H27" i="4"/>
  <c r="I25" i="5"/>
  <c r="I19" i="5"/>
  <c r="H15" i="5"/>
  <c r="H27" i="5" s="1"/>
  <c r="H13" i="5"/>
  <c r="H25" i="3"/>
  <c r="H27" i="3" s="1"/>
  <c r="H19" i="3"/>
  <c r="G28" i="6" l="1"/>
  <c r="F31" i="6"/>
  <c r="G19" i="6"/>
  <c r="G25" i="6"/>
  <c r="G27" i="6" s="1"/>
  <c r="G29" i="5"/>
  <c r="G29" i="4"/>
  <c r="H28" i="4" s="1"/>
  <c r="H29" i="4" s="1"/>
  <c r="G28" i="3"/>
  <c r="G29" i="3" s="1"/>
  <c r="F31" i="3"/>
  <c r="I25" i="4"/>
  <c r="J20" i="4"/>
  <c r="J25" i="4" s="1"/>
  <c r="J12" i="4"/>
  <c r="I15" i="4"/>
  <c r="H28" i="5"/>
  <c r="H29" i="5" s="1"/>
  <c r="G31" i="5"/>
  <c r="J12" i="6"/>
  <c r="I15" i="6"/>
  <c r="J20" i="5"/>
  <c r="J19" i="5" s="1"/>
  <c r="I12" i="5"/>
  <c r="I13" i="5" s="1"/>
  <c r="I20" i="3"/>
  <c r="I19" i="3" s="1"/>
  <c r="J15" i="3"/>
  <c r="J13" i="3"/>
  <c r="H20" i="6" l="1"/>
  <c r="H25" i="6" s="1"/>
  <c r="H27" i="6" s="1"/>
  <c r="H19" i="6"/>
  <c r="I20" i="6" s="1"/>
  <c r="I19" i="6" s="1"/>
  <c r="G29" i="6"/>
  <c r="G31" i="4"/>
  <c r="J19" i="4"/>
  <c r="K20" i="4" s="1"/>
  <c r="K19" i="4" s="1"/>
  <c r="G31" i="3"/>
  <c r="H28" i="3"/>
  <c r="H29" i="3" s="1"/>
  <c r="I28" i="3" s="1"/>
  <c r="I27" i="4"/>
  <c r="H31" i="5"/>
  <c r="I28" i="5"/>
  <c r="H31" i="4"/>
  <c r="I28" i="4"/>
  <c r="I29" i="4" s="1"/>
  <c r="J25" i="5"/>
  <c r="K20" i="5"/>
  <c r="I25" i="6"/>
  <c r="I27" i="6" s="1"/>
  <c r="J20" i="6"/>
  <c r="I15" i="5"/>
  <c r="J12" i="5"/>
  <c r="J13" i="5" s="1"/>
  <c r="I25" i="3"/>
  <c r="J20" i="3"/>
  <c r="K12" i="3"/>
  <c r="K13" i="3" s="1"/>
  <c r="J15" i="4"/>
  <c r="J27" i="4" s="1"/>
  <c r="J13" i="4"/>
  <c r="J15" i="6"/>
  <c r="J13" i="6"/>
  <c r="G31" i="6" l="1"/>
  <c r="H28" i="6"/>
  <c r="H29" i="6" s="1"/>
  <c r="H31" i="3"/>
  <c r="L20" i="4"/>
  <c r="K25" i="4"/>
  <c r="I31" i="4"/>
  <c r="J28" i="4"/>
  <c r="J29" i="4" s="1"/>
  <c r="I27" i="5"/>
  <c r="K12" i="5"/>
  <c r="I27" i="3"/>
  <c r="K15" i="3"/>
  <c r="L12" i="3"/>
  <c r="K12" i="4"/>
  <c r="K13" i="4" s="1"/>
  <c r="K12" i="6"/>
  <c r="K13" i="6" s="1"/>
  <c r="K25" i="5"/>
  <c r="K19" i="5"/>
  <c r="J25" i="6"/>
  <c r="J27" i="6" s="1"/>
  <c r="J19" i="6"/>
  <c r="J15" i="5"/>
  <c r="J27" i="5" s="1"/>
  <c r="J25" i="3"/>
  <c r="J27" i="3" s="1"/>
  <c r="J19" i="3"/>
  <c r="H31" i="6" l="1"/>
  <c r="I28" i="6"/>
  <c r="I29" i="6" s="1"/>
  <c r="J31" i="4"/>
  <c r="K28" i="4"/>
  <c r="I29" i="5"/>
  <c r="I29" i="3"/>
  <c r="K15" i="4"/>
  <c r="L12" i="4"/>
  <c r="L12" i="6"/>
  <c r="K15" i="6"/>
  <c r="L20" i="5"/>
  <c r="L19" i="5" s="1"/>
  <c r="K20" i="6"/>
  <c r="K19" i="6" s="1"/>
  <c r="K20" i="3"/>
  <c r="K19" i="3" s="1"/>
  <c r="L25" i="4"/>
  <c r="L19" i="4"/>
  <c r="K15" i="5"/>
  <c r="K13" i="5"/>
  <c r="L15" i="3"/>
  <c r="L13" i="3"/>
  <c r="J28" i="6" l="1"/>
  <c r="J29" i="6" s="1"/>
  <c r="I31" i="6"/>
  <c r="J28" i="5"/>
  <c r="J29" i="5" s="1"/>
  <c r="I31" i="5"/>
  <c r="I31" i="3"/>
  <c r="J28" i="3"/>
  <c r="J29" i="3" s="1"/>
  <c r="K27" i="4"/>
  <c r="M20" i="5"/>
  <c r="L25" i="5"/>
  <c r="K25" i="6"/>
  <c r="K27" i="6" s="1"/>
  <c r="L20" i="6"/>
  <c r="K25" i="3"/>
  <c r="L20" i="3"/>
  <c r="M20" i="4"/>
  <c r="M19" i="4" s="1"/>
  <c r="K27" i="5"/>
  <c r="L12" i="5"/>
  <c r="L13" i="5" s="1"/>
  <c r="M12" i="3"/>
  <c r="M13" i="3" s="1"/>
  <c r="L15" i="4"/>
  <c r="L27" i="4" s="1"/>
  <c r="L13" i="4"/>
  <c r="L15" i="6"/>
  <c r="L13" i="6"/>
  <c r="J31" i="6" l="1"/>
  <c r="K28" i="6"/>
  <c r="J31" i="5"/>
  <c r="K28" i="5"/>
  <c r="K29" i="5" s="1"/>
  <c r="J31" i="3"/>
  <c r="K28" i="3"/>
  <c r="K29" i="4"/>
  <c r="K29" i="6"/>
  <c r="K27" i="3"/>
  <c r="M25" i="4"/>
  <c r="N20" i="4"/>
  <c r="M12" i="5"/>
  <c r="L15" i="5"/>
  <c r="M15" i="3"/>
  <c r="N12" i="3"/>
  <c r="M12" i="4"/>
  <c r="M13" i="4" s="1"/>
  <c r="M12" i="6"/>
  <c r="M13" i="6" s="1"/>
  <c r="M25" i="5"/>
  <c r="M19" i="5"/>
  <c r="L25" i="6"/>
  <c r="L19" i="6"/>
  <c r="L25" i="3"/>
  <c r="L27" i="3" s="1"/>
  <c r="L19" i="3"/>
  <c r="K31" i="5" l="1"/>
  <c r="L28" i="5"/>
  <c r="L28" i="4"/>
  <c r="L29" i="4" s="1"/>
  <c r="K31" i="4"/>
  <c r="L28" i="6"/>
  <c r="K31" i="6"/>
  <c r="L27" i="5"/>
  <c r="M15" i="4"/>
  <c r="N12" i="4"/>
  <c r="N12" i="6"/>
  <c r="N15" i="6" s="1"/>
  <c r="M15" i="6"/>
  <c r="N20" i="5"/>
  <c r="N19" i="5" s="1"/>
  <c r="L27" i="6"/>
  <c r="M20" i="6"/>
  <c r="M19" i="6" s="1"/>
  <c r="M20" i="3"/>
  <c r="M19" i="3" s="1"/>
  <c r="K29" i="3"/>
  <c r="N25" i="4"/>
  <c r="N19" i="4"/>
  <c r="M15" i="5"/>
  <c r="M27" i="5" s="1"/>
  <c r="M13" i="5"/>
  <c r="N15" i="3"/>
  <c r="N13" i="3"/>
  <c r="N13" i="6" l="1"/>
  <c r="O12" i="6" s="1"/>
  <c r="O13" i="6" s="1"/>
  <c r="L29" i="6"/>
  <c r="L31" i="6" s="1"/>
  <c r="L31" i="4"/>
  <c r="M28" i="4"/>
  <c r="M27" i="4"/>
  <c r="N25" i="5"/>
  <c r="O20" i="5"/>
  <c r="O25" i="5" s="1"/>
  <c r="M25" i="6"/>
  <c r="M27" i="6" s="1"/>
  <c r="N20" i="6"/>
  <c r="M25" i="3"/>
  <c r="N20" i="3"/>
  <c r="L28" i="3"/>
  <c r="L29" i="3" s="1"/>
  <c r="K31" i="3"/>
  <c r="O20" i="4"/>
  <c r="O19" i="4" s="1"/>
  <c r="N12" i="5"/>
  <c r="N13" i="5" s="1"/>
  <c r="O12" i="3"/>
  <c r="O13" i="3" s="1"/>
  <c r="L29" i="5"/>
  <c r="N15" i="4"/>
  <c r="N27" i="4" s="1"/>
  <c r="N13" i="4"/>
  <c r="M28" i="6" l="1"/>
  <c r="O19" i="5"/>
  <c r="P20" i="5" s="1"/>
  <c r="P19" i="5" s="1"/>
  <c r="Q19" i="5" s="1"/>
  <c r="O15" i="6"/>
  <c r="P12" i="6"/>
  <c r="P13" i="6" s="1"/>
  <c r="Q13" i="6" s="1"/>
  <c r="M27" i="3"/>
  <c r="M28" i="3"/>
  <c r="L31" i="3"/>
  <c r="P20" i="4"/>
  <c r="P25" i="4" s="1"/>
  <c r="Q20" i="4"/>
  <c r="O25" i="4"/>
  <c r="O12" i="5"/>
  <c r="N15" i="5"/>
  <c r="O15" i="3"/>
  <c r="P12" i="3"/>
  <c r="M28" i="5"/>
  <c r="M29" i="5" s="1"/>
  <c r="L31" i="5"/>
  <c r="O12" i="4"/>
  <c r="O13" i="4" s="1"/>
  <c r="M29" i="4"/>
  <c r="M29" i="6"/>
  <c r="N25" i="6"/>
  <c r="N19" i="6"/>
  <c r="N25" i="3"/>
  <c r="N27" i="3" s="1"/>
  <c r="N19" i="3"/>
  <c r="Q25" i="4" l="1"/>
  <c r="P19" i="4"/>
  <c r="Q19" i="4" s="1"/>
  <c r="Q20" i="5"/>
  <c r="P25" i="5"/>
  <c r="N27" i="5"/>
  <c r="M31" i="5"/>
  <c r="N28" i="5"/>
  <c r="N29" i="5" s="1"/>
  <c r="O15" i="4"/>
  <c r="P12" i="4"/>
  <c r="N28" i="4"/>
  <c r="N29" i="4" s="1"/>
  <c r="M31" i="4"/>
  <c r="M31" i="6"/>
  <c r="N28" i="6"/>
  <c r="N27" i="6"/>
  <c r="O20" i="6"/>
  <c r="O19" i="6" s="1"/>
  <c r="O20" i="3"/>
  <c r="O19" i="3" s="1"/>
  <c r="M29" i="3"/>
  <c r="D7" i="7"/>
  <c r="P15" i="6"/>
  <c r="Q15" i="6" s="1"/>
  <c r="Q12" i="6"/>
  <c r="O15" i="5"/>
  <c r="O27" i="5" s="1"/>
  <c r="O13" i="5"/>
  <c r="P15" i="3"/>
  <c r="Q15" i="3" s="1"/>
  <c r="C6" i="7" s="1"/>
  <c r="Q12" i="3"/>
  <c r="P13" i="3"/>
  <c r="Q13" i="3" s="1"/>
  <c r="N29" i="6" l="1"/>
  <c r="Q25" i="5"/>
  <c r="E7" i="7"/>
  <c r="O28" i="5"/>
  <c r="O29" i="5" s="1"/>
  <c r="N31" i="5"/>
  <c r="O27" i="4"/>
  <c r="N31" i="4"/>
  <c r="O28" i="4"/>
  <c r="N31" i="6"/>
  <c r="O28" i="6"/>
  <c r="P20" i="6"/>
  <c r="Q20" i="6" s="1"/>
  <c r="O25" i="6"/>
  <c r="O25" i="3"/>
  <c r="P20" i="3"/>
  <c r="N28" i="3"/>
  <c r="N29" i="3" s="1"/>
  <c r="M31" i="3"/>
  <c r="F6" i="7"/>
  <c r="P12" i="5"/>
  <c r="P13" i="5" s="1"/>
  <c r="Q13" i="5" s="1"/>
  <c r="P15" i="4"/>
  <c r="Q15" i="4" s="1"/>
  <c r="Q12" i="4"/>
  <c r="P13" i="4"/>
  <c r="Q13" i="4" s="1"/>
  <c r="O29" i="4" l="1"/>
  <c r="P28" i="5"/>
  <c r="O31" i="5"/>
  <c r="O31" i="4"/>
  <c r="P28" i="4"/>
  <c r="O27" i="6"/>
  <c r="O27" i="3"/>
  <c r="O28" i="3"/>
  <c r="N31" i="3"/>
  <c r="Q12" i="5"/>
  <c r="P15" i="5"/>
  <c r="P27" i="4"/>
  <c r="D6" i="7"/>
  <c r="P25" i="6"/>
  <c r="P27" i="6" s="1"/>
  <c r="P19" i="6"/>
  <c r="Q19" i="6" s="1"/>
  <c r="P25" i="3"/>
  <c r="Q20" i="3"/>
  <c r="P19" i="3"/>
  <c r="Q19" i="3" s="1"/>
  <c r="F7" i="7" l="1"/>
  <c r="Q25" i="6"/>
  <c r="O29" i="3"/>
  <c r="P27" i="3"/>
  <c r="Q25" i="3"/>
  <c r="C7" i="7" s="1"/>
  <c r="F8" i="7"/>
  <c r="O29" i="6"/>
  <c r="Q27" i="6"/>
  <c r="Q27" i="3"/>
  <c r="C8" i="7" s="1"/>
  <c r="O31" i="3"/>
  <c r="P28" i="3"/>
  <c r="P29" i="3" s="1"/>
  <c r="Q15" i="5"/>
  <c r="E6" i="7"/>
  <c r="P27" i="5"/>
  <c r="Q27" i="4"/>
  <c r="D8" i="7"/>
  <c r="P29" i="4"/>
  <c r="P28" i="6" l="1"/>
  <c r="P29" i="6" s="1"/>
  <c r="O31" i="6"/>
  <c r="Q29" i="3"/>
  <c r="C9" i="7" s="1"/>
  <c r="C10" i="7" s="1"/>
  <c r="P31" i="3"/>
  <c r="P29" i="5"/>
  <c r="Q27" i="5"/>
  <c r="E8" i="7"/>
  <c r="D9" i="7"/>
  <c r="D10" i="7" s="1"/>
  <c r="P31" i="4"/>
  <c r="Q29" i="4"/>
  <c r="F9" i="7" l="1"/>
  <c r="F10" i="7" s="1"/>
  <c r="Q29" i="6"/>
  <c r="P31" i="6"/>
  <c r="C11" i="7"/>
  <c r="Q31" i="3"/>
  <c r="P31" i="5"/>
  <c r="E9" i="7"/>
  <c r="E10" i="7" s="1"/>
  <c r="Q29" i="5"/>
  <c r="D11" i="7"/>
  <c r="Q31" i="4"/>
  <c r="F11" i="7" l="1"/>
  <c r="Q31" i="6"/>
  <c r="E11" i="7"/>
  <c r="Q31" i="5"/>
</calcChain>
</file>

<file path=xl/sharedStrings.xml><?xml version="1.0" encoding="utf-8"?>
<sst xmlns="http://schemas.openxmlformats.org/spreadsheetml/2006/main" count="428" uniqueCount="215">
  <si>
    <t>FY2023</t>
  </si>
  <si>
    <t>FY2024</t>
  </si>
  <si>
    <t>FY2025</t>
  </si>
  <si>
    <t>Gross Margin %</t>
  </si>
  <si>
    <t>Operating Cash Flow ($000s)</t>
  </si>
  <si>
    <t>Days Sales Outstanding (DSO)</t>
  </si>
  <si>
    <t>Days Inventory Outstanding (DIO)</t>
  </si>
  <si>
    <t>Days Payable Outstanding (DPO)</t>
  </si>
  <si>
    <t>Base Case</t>
  </si>
  <si>
    <t>Scenario 1 – Slower Collections</t>
  </si>
  <si>
    <t>Scenario 2 – Seasonal Cash Pressure</t>
  </si>
  <si>
    <t>Scenario 3 – Process Improvement</t>
  </si>
  <si>
    <t>Electronic documentation &amp; ERP optimization reduces DSO by 8 days and DPO extends by 5 days through better AP scheduling. Models cash benefit of operational efficiency initiatives over 13 weeks.</t>
  </si>
  <si>
    <t>Trend</t>
  </si>
  <si>
    <t>What This Means for Cash Forecasting</t>
  </si>
  <si>
    <t>▼ Improving</t>
  </si>
  <si>
    <t>DSO declining → customers paying faster → positive for cash. Base case assumption of 53.7 days reflects FY2025 actual trend.</t>
  </si>
  <si>
    <t>▲ Improving</t>
  </si>
  <si>
    <t>BHE paying suppliers more slowly → retaining cash longer. Rising DPO is favorable; Scenario 3 extends this further +5 days.</t>
  </si>
  <si>
    <t>CCC = days cash is tied up in operations. Declining CCC = BHE converting revenue to cash more efficiently each year.</t>
  </si>
  <si>
    <t>▲ Stable</t>
  </si>
  <si>
    <t>CapEx ($000s)</t>
  </si>
  <si>
    <t>CONSOLIDATED STATEMENTS OF INCOME</t>
  </si>
  <si>
    <t>Sales</t>
  </si>
  <si>
    <t xml:space="preserve">  Cost of Sales</t>
  </si>
  <si>
    <t>Gross Profit</t>
  </si>
  <si>
    <t xml:space="preserve">  Gross Margin %</t>
  </si>
  <si>
    <t xml:space="preserve">  SG&amp;A Expenses</t>
  </si>
  <si>
    <t xml:space="preserve">  Amortization of Intangible Assets</t>
  </si>
  <si>
    <t xml:space="preserve">  Restructuring &amp; Other Costs</t>
  </si>
  <si>
    <t xml:space="preserve">  Total Operating Expenses</t>
  </si>
  <si>
    <t>Income from Operations (EBIT)</t>
  </si>
  <si>
    <t xml:space="preserve">  EBIT Margin %</t>
  </si>
  <si>
    <t xml:space="preserve">  Interest Expense</t>
  </si>
  <si>
    <t xml:space="preserve">  Interest Income</t>
  </si>
  <si>
    <t xml:space="preserve">  Other Expense, net</t>
  </si>
  <si>
    <t>Income Before Taxes (EBT)</t>
  </si>
  <si>
    <t xml:space="preserve">  Income Tax Expense</t>
  </si>
  <si>
    <t xml:space="preserve">  Effective Tax Rate %</t>
  </si>
  <si>
    <t>Net Income</t>
  </si>
  <si>
    <t xml:space="preserve">  Net Margin %</t>
  </si>
  <si>
    <t xml:space="preserve">  Basic EPS</t>
  </si>
  <si>
    <t xml:space="preserve">  Diluted EPS</t>
  </si>
  <si>
    <t xml:space="preserve">  Basic Shares Outstanding (000s)</t>
  </si>
  <si>
    <t xml:space="preserve">  Diluted Shares Outstanding (000s)</t>
  </si>
  <si>
    <t>CONSOLIDATED BALANCE SHEETS</t>
  </si>
  <si>
    <t>ASSETS</t>
  </si>
  <si>
    <t>Current Assets</t>
  </si>
  <si>
    <t xml:space="preserve">  Cash &amp; Cash Equivalents</t>
  </si>
  <si>
    <t xml:space="preserve">  Restricted Cash</t>
  </si>
  <si>
    <t xml:space="preserve">  Accounts Receivable, net</t>
  </si>
  <si>
    <t xml:space="preserve">  Contract Assets</t>
  </si>
  <si>
    <t xml:space="preserve">  Inventories</t>
  </si>
  <si>
    <t xml:space="preserve">  Prepaid &amp; Other Current Assets</t>
  </si>
  <si>
    <t>Total Current Assets</t>
  </si>
  <si>
    <t xml:space="preserve">  Property, Plant &amp; Equipment, net</t>
  </si>
  <si>
    <t xml:space="preserve">  Operating Lease ROU Assets</t>
  </si>
  <si>
    <t xml:space="preserve">  Goodwill</t>
  </si>
  <si>
    <t xml:space="preserve">  Deferred Income Taxes</t>
  </si>
  <si>
    <t xml:space="preserve">  Other Long-Term Assets</t>
  </si>
  <si>
    <t>Total Assets</t>
  </si>
  <si>
    <t>LIABILITIES &amp; EQUITY</t>
  </si>
  <si>
    <t>Current Liabilities</t>
  </si>
  <si>
    <t xml:space="preserve">  Current Installments of LT Debt</t>
  </si>
  <si>
    <t xml:space="preserve">  Accounts Payable</t>
  </si>
  <si>
    <t xml:space="preserve">  Advance Payments from Customers</t>
  </si>
  <si>
    <t xml:space="preserve">  Income Taxes Payable</t>
  </si>
  <si>
    <t xml:space="preserve">  Accrued Liabilities</t>
  </si>
  <si>
    <t>Total Current Liabilities</t>
  </si>
  <si>
    <t xml:space="preserve">  Long-Term Debt, net</t>
  </si>
  <si>
    <t xml:space="preserve">  Operating Lease Liabilities</t>
  </si>
  <si>
    <t xml:space="preserve">  Other Long-Term Liabilities</t>
  </si>
  <si>
    <t xml:space="preserve">  Deferred Income Taxes (LT)</t>
  </si>
  <si>
    <t>Total Liabilities</t>
  </si>
  <si>
    <t>Total Shareholders' Equity</t>
  </si>
  <si>
    <t>Total Liabilities &amp; Equity</t>
  </si>
  <si>
    <t>CONSOLIDATED STATEMENTS OF CASH FLOWS</t>
  </si>
  <si>
    <t>OPERATING ACTIVITIES</t>
  </si>
  <si>
    <t xml:space="preserve">  Net Income</t>
  </si>
  <si>
    <t xml:space="preserve">  Depreciation</t>
  </si>
  <si>
    <t xml:space="preserve">  Amortization</t>
  </si>
  <si>
    <t xml:space="preserve">  Total D&amp;A</t>
  </si>
  <si>
    <t xml:space="preserve">  Stock-Based Compensation</t>
  </si>
  <si>
    <t xml:space="preserve">  Change in Accounts Receivable</t>
  </si>
  <si>
    <t xml:space="preserve">  Change in Inventories</t>
  </si>
  <si>
    <t xml:space="preserve">  Change in Accounts Payable</t>
  </si>
  <si>
    <t xml:space="preserve">  Other Operating Changes</t>
  </si>
  <si>
    <t>Net Cash from Operating Activities</t>
  </si>
  <si>
    <t>INVESTING ACTIVITIES</t>
  </si>
  <si>
    <t xml:space="preserve">  Additions to PP&amp;E (CapEx)</t>
  </si>
  <si>
    <t xml:space="preserve">  Additions to Capitalized Software</t>
  </si>
  <si>
    <t xml:space="preserve">  Total CapEx (PP&amp;E + Software)</t>
  </si>
  <si>
    <t xml:space="preserve">  Other Investing Activities</t>
  </si>
  <si>
    <t>Net Cash from Investing Activities</t>
  </si>
  <si>
    <t>FINANCING ACTIVITIES</t>
  </si>
  <si>
    <t xml:space="preserve">  Borrowings under Credit Agreement</t>
  </si>
  <si>
    <t xml:space="preserve">  Principal Payments on Credit</t>
  </si>
  <si>
    <t xml:space="preserve">  Dividends Paid</t>
  </si>
  <si>
    <t xml:space="preserve">  Share Repurchases</t>
  </si>
  <si>
    <t xml:space="preserve">  Other Financing</t>
  </si>
  <si>
    <t>Net Cash from Financing Activities</t>
  </si>
  <si>
    <t xml:space="preserve">  FX Effect on Cash</t>
  </si>
  <si>
    <t>Net Change in Cash</t>
  </si>
  <si>
    <t xml:space="preserve">  Beginning Cash Balance</t>
  </si>
  <si>
    <t>Ending Cash Balance</t>
  </si>
  <si>
    <t>Cash Conversion Cycle (CCC)</t>
  </si>
  <si>
    <t>COGS as % of Sales</t>
  </si>
  <si>
    <t>Weekly Revenue Run-Rate ($000s)</t>
  </si>
  <si>
    <t>Weekly D&amp;A ($000s)</t>
  </si>
  <si>
    <t>Weekly CapEx ($000s)</t>
  </si>
  <si>
    <t>Weekly Interest Expense ($000s)</t>
  </si>
  <si>
    <t>Annual Effective Tax Rate</t>
  </si>
  <si>
    <t>Opening
Balance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</si>
  <si>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</si>
  <si>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</si>
  <si>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</si>
  <si>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</si>
  <si>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</si>
  <si>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</si>
  <si>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</si>
  <si>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</si>
  <si>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</si>
  <si>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</si>
  <si>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</si>
  <si>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</si>
  <si>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</si>
  <si>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13-Wk Total</t>
  </si>
  <si>
    <t>KEY ASSUMPTIONS</t>
  </si>
  <si>
    <t>Weekly Revenue ($000s)</t>
  </si>
  <si>
    <t>-</t>
  </si>
  <si>
    <t>DSO (days)</t>
  </si>
  <si>
    <t>DIO (days)</t>
  </si>
  <si>
    <t>DPO (days)</t>
  </si>
  <si>
    <t>CASH RECEIPTS</t>
  </si>
  <si>
    <t xml:space="preserve">  Cash Collections from Customers</t>
  </si>
  <si>
    <t xml:space="preserve">  Accounts Receivable (Ending)</t>
  </si>
  <si>
    <t>Total Cash Receipts</t>
  </si>
  <si>
    <t>CASH DISBURSEMENTS</t>
  </si>
  <si>
    <t xml:space="preserve">  Inventory (Ending)</t>
  </si>
  <si>
    <t xml:space="preserve">  Inventory Purchases</t>
  </si>
  <si>
    <t xml:space="preserve">  Accounts Payable (Ending)</t>
  </si>
  <si>
    <t xml:space="preserve">  AP Payments to Suppliers</t>
  </si>
  <si>
    <t xml:space="preserve">  Operating Expenses (SG&amp;A)</t>
  </si>
  <si>
    <t xml:space="preserve">  Income Tax Payments</t>
  </si>
  <si>
    <t xml:space="preserve">  Capital Expenditures</t>
  </si>
  <si>
    <t>Total Cash Disbursements</t>
  </si>
  <si>
    <t>CASH POSITION SUMMARY</t>
  </si>
  <si>
    <t>Net Cash Flow</t>
  </si>
  <si>
    <t>Beginning Cash Balance</t>
  </si>
  <si>
    <t>Minimum Cash Buffer ($15,000K)</t>
  </si>
  <si>
    <t>Cash Headroom vs. Minimum Buffer</t>
  </si>
  <si>
    <t>Scenario 1
Slow Collections</t>
  </si>
  <si>
    <t>Scenario 2
Seasonal Pressure</t>
  </si>
  <si>
    <t>Scenario 3
Process Improvement</t>
  </si>
  <si>
    <t>Key Insight</t>
  </si>
  <si>
    <t>13-Week Total Collections</t>
  </si>
  <si>
    <t>Higher = better liquidity from customers</t>
  </si>
  <si>
    <t>13-Week Total Disbursements</t>
  </si>
  <si>
    <t>Lower = less cash going out</t>
  </si>
  <si>
    <t>Net Cash Flow (13 Weeks)</t>
  </si>
  <si>
    <t>Cumulative net cash generated</t>
  </si>
  <si>
    <t>Ending Cash Balance (Wk 13)</t>
  </si>
  <si>
    <t>Final cash position vs. $15M minimum buffer</t>
  </si>
  <si>
    <t>Minimum Cash Headroom</t>
  </si>
  <si>
    <t>1. DSO is the primary cash lever.</t>
  </si>
  <si>
    <t>3. Process improvement has a quantifiable ROI.</t>
  </si>
  <si>
    <t>4. Benchmark maintains adequate liquidity in all scenarios.</t>
  </si>
  <si>
    <t>13-Week Cash Flow Forecast</t>
  </si>
  <si>
    <t xml:space="preserve">BENCHMARK ELECTRONICS, INC. </t>
  </si>
  <si>
    <t>FY2026</t>
  </si>
  <si>
    <t>FY2022</t>
  </si>
  <si>
    <t>Cash Conversion Cycle</t>
  </si>
  <si>
    <t xml:space="preserve"> SCENARIO 2 — SEASONAL CASH PRESSURE (-8% Revenue, +7 DSO, Higher Inventory) (in $000s)</t>
  </si>
  <si>
    <t xml:space="preserve"> SCENARIO 1 — SLOWER COLLECTIONS (+15 DSO Days) (in $000s)</t>
  </si>
  <si>
    <t>SCENARIO 3 — PROCESS IMPROVEMENT (-8 DSO Days, +5 DPO Days) (in $000s)</t>
  </si>
  <si>
    <t>13-Week Cash Flow Forecast  |  All figures in USD thousands ($000s)</t>
  </si>
  <si>
    <t>BENCHMARK ELECTRONICS, INC.</t>
  </si>
  <si>
    <t>Financial Statements (in $000s)</t>
  </si>
  <si>
    <t xml:space="preserve">Historical Financial Data </t>
  </si>
  <si>
    <t>Revenue ($000s)</t>
  </si>
  <si>
    <t>Cost of Sales ($000s)</t>
  </si>
  <si>
    <t>Gross Profit ($000s)</t>
  </si>
  <si>
    <t>Capital Expenditures ($000s)</t>
  </si>
  <si>
    <t>Cash &amp; Equivalents ($000s)</t>
  </si>
  <si>
    <t>Accounts Receivable ($000s)</t>
  </si>
  <si>
    <t>Inventories ($000s)</t>
  </si>
  <si>
    <t>Accounts Payable ($000s)</t>
  </si>
  <si>
    <t>Scenario Descriptions</t>
  </si>
  <si>
    <t xml:space="preserve">KEY DERIVED METRICS </t>
  </si>
  <si>
    <t>Average</t>
  </si>
  <si>
    <t>Working Capital Trend Analysis  (FY2022 → FY2025)</t>
  </si>
  <si>
    <t>Charts</t>
  </si>
  <si>
    <t>SG&amp;A as % of Sales</t>
  </si>
  <si>
    <t>Customer payments slow by ~15 days (DSO rises to ~69 days), reflecting tightening credit conditions in key end-markets (aerospace &amp; defense, industrial). Inventory stays flat. AP terms unchanged. Models liquidity pressure from AR drag.</t>
  </si>
  <si>
    <t>Inventory turning faster → less cash tied up in stock. Improvement from 101.0→73.7 days for the full period signals better demand-supply matching.</t>
  </si>
  <si>
    <t>OCF recovered from a cash burn year (FY2022) driven by the inventory build (DIO peaked at 101 days), with FY2025 pulling back from the FY2024 high.</t>
  </si>
  <si>
    <t>CapEx peaked at $77.7M in FY2023, fell 57% to $33.3M in FY2024, then rose 16% to $38.5M in FY2025 (50% below peak). Base case uses the FY2025 total of $38.5M/yr ($741K/week). Scenario 2 cuts this 30% to ~$27M/yr, reflecting typical capex deferral during soft quarters.</t>
  </si>
  <si>
    <t>Ending Cash vs. Base</t>
  </si>
  <si>
    <t xml:space="preserve"> ► Normalizing</t>
  </si>
  <si>
    <t>▲ Recovered</t>
  </si>
  <si>
    <t>Key Findings and Analytics Insights</t>
  </si>
  <si>
    <t>A 15-day increase in DSO (Scenario 1) reduces ending cash by $82.4M over 13 weeks, roughly $5.5M for every day customers take longer to pay. That is twice the impact of an 8% revenue decline (Scenario 2). AR management is not just an administrative function; it is a direct liquidity risk. In manufacturing services, where customer concentration is high and payment terms are negotiated, even modest slippage in collections creates measurable cash pressure.</t>
  </si>
  <si>
    <t>2. Seasonal softness hits collections faster than costs.</t>
  </si>
  <si>
    <t>In Scenario 2, collections fall 9.9% ($65.6M) while disbursements fall only 3.6% ($23.8M), reducing ending cash by $41.8M. Inventory still rises about $5.8M despite lower sales because DIO extends 10%, so purchases do not shrink as fast as revenue. This is characteristic of electronics manufacturing, where build schedules lag demand signals by several weeks.</t>
  </si>
  <si>
    <t>Scenario 3 shows that an 8-day DSO reduction and 5-day DPO extension generate $76.7M of additional cash over 13 weeks: $51.7M from faster collections and $25.1M from slower supplier payments. This nearly offsets the entire Scenario 1 downside and provides a financial justification for e-invoicing, automated dunning, and AP scheduling improvements.</t>
  </si>
  <si>
    <t>With $322.1M in opening cash, the lowest point in any scenario is $228.1M of headroom above the $15M minimum buffer (Scenario 1). The question for management is not solvency but optimization: how much cash is tied up in working capital that could be released through faster collections and better payment terms.</t>
  </si>
  <si>
    <t>All Scenarios start from FY 2025 year-end cash</t>
  </si>
  <si>
    <t>Tightest point vs. $15M buffer</t>
  </si>
  <si>
    <t>Isolates the cash impact of each scenario's assumptions</t>
  </si>
  <si>
    <t>For the Period FY2022 → FY2025</t>
  </si>
  <si>
    <t>Margin stable~10% despite revenue fluctuation. Validates use of 89.84% COGS assumption across all scenarios.</t>
  </si>
  <si>
    <t xml:space="preserve"> BASE CASE | 13-WEEK CASH FLOW FORECAST</t>
  </si>
  <si>
    <t>BENCHMARK ELECTRONICS, INC.— SCENARIO COMPARISON SUMMARY</t>
  </si>
  <si>
    <t>Operations perform in line with FY2025 historical run-rates. DSO ~53 days, DIO ~74 days, DPO ~62 days.</t>
  </si>
  <si>
    <t xml:space="preserve">Q1 demand softness typical in electronics manufacturing: revenue -8% vs base, DIO is +10% (73.7 to 81.1 days). Because revenue is also down 8%, inventory dollars only rise about 1.2% ($483.9M to $489.7M). Collections also slow modestly (+7 days DSO).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</si>
</sst>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0.0%;\(0.0%\);\-"/>
    <numFmt numFmtId="166" formatCode="0.0"/>
    <numFmt numFmtId="167" formatCode="\$#,##0.00"/>
    <numFmt numFmtId="168" formatCode="0.000%"/>
    <numFmt numFmtId="169" formatCode="0.0%"/>
    <numFmt numFmtId="170" formatCode="#,##0_);\(#,##0\);&quot;-&quot;_)"/>
    <numFmt numFmtId="171" formatCode="#,##0;#,##0"/>
  </numFmts>
  <fonts count="1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4"/>
      <color rgb="FFFFFFFF"/>
      <name val="Open Sans"/>
      <family val="2"/>
    </font>
    <font>
      <sz val="11"/>
      <color theme="1"/>
      <name val="Open Sans"/>
      <family val="2"/>
    </font>
    <font>
      <b/>
      <sz val="10"/>
      <color rgb="FFFFFFFF"/>
      <name val="Open Sans"/>
      <family val="2"/>
    </font>
    <font>
      <b/>
      <sz val="10"/>
      <color rgb="FF000000"/>
      <name val="Open Sans"/>
      <family val="2"/>
    </font>
    <font>
      <sz val="10"/>
      <name val="Open Sans"/>
      <family val="2"/>
    </font>
    <font>
      <b/>
      <sz val="12"/>
      <color rgb="FFFFFFFF"/>
      <name val="Open Sans"/>
      <family val="2"/>
    </font>
    <font>
      <b/>
      <sz val="10"/>
      <name val="Open Sans"/>
      <family val="2"/>
    </font>
    <font>
      <b/>
      <sz val="13"/>
      <color rgb="FFFFFFFF"/>
      <name val="Open Sans"/>
      <family val="2"/>
    </font>
    <font>
      <sz val="9"/>
      <color rgb="FFFFFFFF"/>
      <name val="Open Sans"/>
      <family val="2"/>
    </font>
    <font>
      <sz val="10"/>
      <color rgb="FF0000FF"/>
      <name val="Open Sans"/>
      <family val="2"/>
    </font>
    <font>
      <sz val="12"/>
      <color rgb="FFFFFFFF"/>
      <name val="Open Sans"/>
      <family val="2"/>
    </font>
    <font>
      <b/>
      <sz val="9"/>
      <name val="Open Sans"/>
      <family val="2"/>
    </font>
    <font>
      <sz val="1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10"/>
      <color rgb="FFFFFFFF"/>
      <name val="Open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E2EFDA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7ECB4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8FB8D"/>
        <bgColor indexed="64"/>
      </patternFill>
    </fill>
    <fill>
      <patternFill patternType="solid">
        <fgColor rgb="FF002060"/>
        <bgColor rgb="FF1F38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1" tint="0.34998626667073579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164" fontId="11" fillId="0" borderId="0" xfId="0" applyNumberFormat="1" applyFont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right" vertical="center"/>
    </xf>
    <xf numFmtId="164" fontId="8" fillId="0" borderId="0" xfId="0" applyNumberFormat="1" applyFont="1" applyFill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/>
    </xf>
    <xf numFmtId="165" fontId="6" fillId="0" borderId="0" xfId="0" applyNumberFormat="1" applyFont="1" applyFill="1" applyAlignment="1">
      <alignment horizontal="right" vertical="center"/>
    </xf>
    <xf numFmtId="167" fontId="6" fillId="0" borderId="0" xfId="0" applyNumberFormat="1" applyFont="1" applyFill="1" applyAlignment="1">
      <alignment horizontal="right" vertical="center"/>
    </xf>
    <xf numFmtId="169" fontId="6" fillId="0" borderId="0" xfId="1" applyNumberFormat="1" applyFont="1" applyFill="1" applyAlignment="1">
      <alignment horizontal="right" vertical="center" wrapText="1"/>
    </xf>
    <xf numFmtId="37" fontId="6" fillId="0" borderId="0" xfId="0" applyNumberFormat="1" applyFont="1" applyFill="1" applyAlignment="1">
      <alignment horizontal="right" vertical="center" wrapText="1"/>
    </xf>
    <xf numFmtId="0" fontId="14" fillId="0" borderId="0" xfId="0" applyFont="1" applyFill="1"/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/>
    <xf numFmtId="170" fontId="6" fillId="0" borderId="0" xfId="0" applyNumberFormat="1" applyFont="1" applyFill="1" applyAlignment="1">
      <alignment horizontal="right" vertical="center"/>
    </xf>
    <xf numFmtId="170" fontId="8" fillId="0" borderId="0" xfId="0" applyNumberFormat="1" applyFont="1" applyFill="1" applyAlignment="1">
      <alignment horizontal="right" vertical="center"/>
    </xf>
    <xf numFmtId="166" fontId="6" fillId="0" borderId="0" xfId="0" applyNumberFormat="1" applyFont="1" applyFill="1" applyAlignment="1">
      <alignment horizontal="right" vertical="center"/>
    </xf>
    <xf numFmtId="10" fontId="6" fillId="0" borderId="0" xfId="0" applyNumberFormat="1" applyFont="1" applyFill="1" applyAlignment="1">
      <alignment horizontal="right" vertical="center"/>
    </xf>
    <xf numFmtId="168" fontId="6" fillId="0" borderId="0" xfId="0" applyNumberFormat="1" applyFont="1" applyFill="1" applyAlignment="1">
      <alignment horizontal="right" vertical="center"/>
    </xf>
    <xf numFmtId="169" fontId="6" fillId="0" borderId="0" xfId="0" applyNumberFormat="1" applyFont="1" applyFill="1" applyAlignment="1">
      <alignment horizontal="right" vertical="center"/>
    </xf>
    <xf numFmtId="0" fontId="14" fillId="0" borderId="6" xfId="0" applyFont="1" applyFill="1" applyBorder="1"/>
    <xf numFmtId="0" fontId="14" fillId="0" borderId="0" xfId="0" applyFont="1" applyFill="1" applyBorder="1"/>
    <xf numFmtId="0" fontId="6" fillId="0" borderId="2" xfId="0" applyFont="1" applyFill="1" applyBorder="1" applyAlignment="1">
      <alignment horizontal="left" vertical="center"/>
    </xf>
    <xf numFmtId="171" fontId="6" fillId="0" borderId="3" xfId="0" applyNumberFormat="1" applyFont="1" applyFill="1" applyBorder="1" applyAlignment="1">
      <alignment horizontal="right" vertical="center"/>
    </xf>
    <xf numFmtId="171" fontId="6" fillId="0" borderId="4" xfId="0" applyNumberFormat="1" applyFont="1" applyFill="1" applyBorder="1" applyAlignment="1">
      <alignment horizontal="right" vertical="center"/>
    </xf>
    <xf numFmtId="165" fontId="6" fillId="0" borderId="3" xfId="0" applyNumberFormat="1" applyFont="1" applyFill="1" applyBorder="1" applyAlignment="1">
      <alignment horizontal="right" vertical="center"/>
    </xf>
    <xf numFmtId="165" fontId="6" fillId="0" borderId="4" xfId="0" applyNumberFormat="1" applyFont="1" applyFill="1" applyBorder="1" applyAlignment="1">
      <alignment horizontal="right" vertical="center"/>
    </xf>
    <xf numFmtId="37" fontId="6" fillId="0" borderId="3" xfId="0" applyNumberFormat="1" applyFont="1" applyFill="1" applyBorder="1" applyAlignment="1">
      <alignment horizontal="right" vertical="center"/>
    </xf>
    <xf numFmtId="37" fontId="6" fillId="0" borderId="4" xfId="0" applyNumberFormat="1" applyFont="1" applyFill="1" applyBorder="1" applyAlignment="1">
      <alignment horizontal="right" vertical="center"/>
    </xf>
    <xf numFmtId="166" fontId="6" fillId="0" borderId="3" xfId="0" applyNumberFormat="1" applyFont="1" applyFill="1" applyBorder="1" applyAlignment="1">
      <alignment horizontal="right" vertical="center"/>
    </xf>
    <xf numFmtId="166" fontId="6" fillId="0" borderId="4" xfId="0" applyNumberFormat="1" applyFont="1" applyFill="1" applyBorder="1" applyAlignment="1">
      <alignment horizontal="right" vertical="center"/>
    </xf>
    <xf numFmtId="0" fontId="16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166" fontId="6" fillId="0" borderId="0" xfId="0" applyNumberFormat="1" applyFont="1" applyFill="1" applyAlignment="1">
      <alignment horizontal="right" vertical="center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center" wrapText="1" indent="1"/>
    </xf>
    <xf numFmtId="3" fontId="6" fillId="0" borderId="0" xfId="0" applyNumberFormat="1" applyFont="1" applyFill="1" applyAlignment="1">
      <alignment horizontal="right" vertical="center" wrapText="1"/>
    </xf>
    <xf numFmtId="0" fontId="6" fillId="0" borderId="0" xfId="0" applyFont="1" applyFill="1" applyAlignment="1">
      <alignment horizontal="left" vertical="center" wrapText="1"/>
    </xf>
    <xf numFmtId="164" fontId="6" fillId="0" borderId="0" xfId="0" applyNumberFormat="1" applyFont="1" applyFill="1"/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171" fontId="6" fillId="0" borderId="8" xfId="0" applyNumberFormat="1" applyFont="1" applyFill="1" applyBorder="1" applyAlignment="1">
      <alignment horizontal="right" vertical="center"/>
    </xf>
    <xf numFmtId="171" fontId="6" fillId="0" borderId="9" xfId="0" applyNumberFormat="1" applyFont="1" applyFill="1" applyBorder="1" applyAlignment="1">
      <alignment horizontal="righ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left" vertical="center" wrapText="1" indent="1"/>
    </xf>
    <xf numFmtId="0" fontId="14" fillId="3" borderId="0" xfId="0" applyFont="1" applyFill="1"/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left" vertical="center" indent="1"/>
    </xf>
    <xf numFmtId="0" fontId="14" fillId="6" borderId="13" xfId="0" applyFont="1" applyFill="1" applyBorder="1"/>
    <xf numFmtId="0" fontId="8" fillId="7" borderId="0" xfId="0" applyFont="1" applyFill="1" applyAlignment="1">
      <alignment horizontal="left" vertical="center"/>
    </xf>
    <xf numFmtId="164" fontId="8" fillId="7" borderId="0" xfId="0" applyNumberFormat="1" applyFont="1" applyFill="1" applyAlignment="1">
      <alignment horizontal="right" vertical="center"/>
    </xf>
    <xf numFmtId="166" fontId="11" fillId="0" borderId="0" xfId="0" applyNumberFormat="1" applyFont="1" applyFill="1" applyAlignment="1">
      <alignment horizontal="right" vertical="center" wrapText="1"/>
    </xf>
    <xf numFmtId="37" fontId="11" fillId="0" borderId="0" xfId="0" applyNumberFormat="1" applyFont="1" applyFill="1" applyAlignment="1">
      <alignment horizontal="right" vertical="center" wrapText="1"/>
    </xf>
    <xf numFmtId="169" fontId="11" fillId="0" borderId="0" xfId="1" applyNumberFormat="1" applyFont="1" applyFill="1" applyAlignment="1">
      <alignment horizontal="right" vertical="center" wrapText="1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Border="1" applyAlignment="1">
      <alignment horizontal="left" vertical="center"/>
    </xf>
    <xf numFmtId="0" fontId="17" fillId="11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FF2CC"/>
      <rgbColor rgb="FFEAF4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FB8D"/>
      <color rgb="FFB7ECB4"/>
      <color rgb="FF0000FF"/>
      <color rgb="FF19E723"/>
      <color rgb="FFFD9F41"/>
      <color rgb="FFFF3333"/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Days Sales Outstanding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Capital Trend Analysis'!$A$4</c:f>
              <c:strCache>
                <c:ptCount val="1"/>
                <c:pt idx="0">
                  <c:v>Days Sales Outstanding (DSO)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name>Trend</c:name>
            <c:spPr>
              <a:ln w="5080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Analysis'!$B$4:$E$4</c:f>
              <c:numCache>
                <c:formatCode>0.0</c:formatCode>
                <c:ptCount val="4"/>
                <c:pt idx="0">
                  <c:v>62.211958711596139</c:v>
                </c:pt>
                <c:pt idx="1">
                  <c:v>57.778741348993442</c:v>
                </c:pt>
                <c:pt idx="2">
                  <c:v>56.679675690531809</c:v>
                </c:pt>
                <c:pt idx="3">
                  <c:v>53.684117004649679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1-4592-A176-4F6FFDEBCD13}"/>
            </c:ext>
          </c:extLst>
        </c:ser>
        <c:ser>
          <c:idx val="1"/>
          <c:order val="1"/>
          <c:tx>
            <c:strRef>
              <c:f>'Working Capital Trend Analysis'!$A$5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Analysis'!$B$5:$E$5</c:f>
              <c:numCache>
                <c:formatCode>0.0</c:formatCode>
                <c:ptCount val="4"/>
                <c:pt idx="0">
                  <c:v>57.588623188942762</c:v>
                </c:pt>
                <c:pt idx="1">
                  <c:v>57.588623188942762</c:v>
                </c:pt>
                <c:pt idx="2">
                  <c:v>57.588623188942762</c:v>
                </c:pt>
                <c:pt idx="3">
                  <c:v>57.588623188942762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1-4592-A176-4F6FFDEBC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753263"/>
        <c:axId val="571594639"/>
      </c:lineChart>
      <c:catAx>
        <c:axId val="89175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94639"/>
        <c:crosses val="autoZero"/>
        <c:auto val="1"/>
        <c:lblAlgn val="ctr"/>
        <c:lblOffset val="100"/>
        <c:noMultiLvlLbl val="0"/>
      </c:catAx>
      <c:valAx>
        <c:axId val="571594639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5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Days Inventory Outstanding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Capital Trend Analysis'!$A$6</c:f>
              <c:strCache>
                <c:ptCount val="1"/>
                <c:pt idx="0">
                  <c:v>Days Inventory Outstanding (DIO)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trendline>
            <c:name>Trend</c:name>
            <c:spPr>
              <a:ln w="5080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Analysis'!$B$6:$E$6</c:f>
              <c:numCache>
                <c:formatCode>0.0</c:formatCode>
                <c:ptCount val="4"/>
                <c:pt idx="0">
                  <c:v>100.95731398626276</c:v>
                </c:pt>
                <c:pt idx="1">
                  <c:v>97.194899268119627</c:v>
                </c:pt>
                <c:pt idx="2">
                  <c:v>84.692728369238097</c:v>
                </c:pt>
                <c:pt idx="3">
                  <c:v>73.723447538011015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3-4EB8-BB14-B6E9F80B382B}"/>
            </c:ext>
          </c:extLst>
        </c:ser>
        <c:ser>
          <c:idx val="1"/>
          <c:order val="1"/>
          <c:tx>
            <c:strRef>
              <c:f>'Working Capital Trend Analysis'!$A$7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Analysis'!$B$7:$E$7</c:f>
              <c:numCache>
                <c:formatCode>0.0</c:formatCode>
                <c:ptCount val="4"/>
                <c:pt idx="0">
                  <c:v>89.142097290407861</c:v>
                </c:pt>
                <c:pt idx="1">
                  <c:v>89.142097290407861</c:v>
                </c:pt>
                <c:pt idx="2">
                  <c:v>89.142097290407861</c:v>
                </c:pt>
                <c:pt idx="3">
                  <c:v>89.142097290407861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3-4EB8-BB14-B6E9F80B3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064111"/>
        <c:axId val="895383503"/>
      </c:lineChart>
      <c:catAx>
        <c:axId val="91006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383503"/>
        <c:crosses val="autoZero"/>
        <c:auto val="1"/>
        <c:lblAlgn val="ctr"/>
        <c:lblOffset val="100"/>
        <c:noMultiLvlLbl val="0"/>
      </c:catAx>
      <c:valAx>
        <c:axId val="89538350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64111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Cash Conversion Cycle</a:t>
            </a:r>
          </a:p>
        </c:rich>
      </c:tx>
      <c:layout>
        <c:manualLayout>
          <c:xMode val="edge"/>
          <c:yMode val="edge"/>
          <c:x val="0.2633518349963794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Capital Trend Analysis'!$A$10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name>Trend</c:name>
            <c:spPr>
              <a:ln w="5080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Analysis'!$B$10:$E$10</c:f>
              <c:numCache>
                <c:formatCode>0.0</c:formatCode>
                <c:ptCount val="4"/>
                <c:pt idx="0">
                  <c:v>104.31194480104328</c:v>
                </c:pt>
                <c:pt idx="1">
                  <c:v>102.74034235775309</c:v>
                </c:pt>
                <c:pt idx="2">
                  <c:v>87.187500026755089</c:v>
                </c:pt>
                <c:pt idx="3">
                  <c:v>65.802993844088377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8-4466-8307-DF756CA9EA0F}"/>
            </c:ext>
          </c:extLst>
        </c:ser>
        <c:ser>
          <c:idx val="1"/>
          <c:order val="1"/>
          <c:tx>
            <c:strRef>
              <c:f>'Working Capital Trend Analysis'!$A$11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Analysis'!$B$11:$E$11</c:f>
              <c:numCache>
                <c:formatCode>0.0</c:formatCode>
                <c:ptCount val="4"/>
                <c:pt idx="0">
                  <c:v>90.010695257409964</c:v>
                </c:pt>
                <c:pt idx="1">
                  <c:v>90.010695257409964</c:v>
                </c:pt>
                <c:pt idx="2">
                  <c:v>90.010695257409964</c:v>
                </c:pt>
                <c:pt idx="3">
                  <c:v>90.010695257409964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8-4466-8307-DF756CA9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095199"/>
        <c:axId val="895396943"/>
      </c:lineChart>
      <c:catAx>
        <c:axId val="91009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396943"/>
        <c:crosses val="autoZero"/>
        <c:auto val="1"/>
        <c:lblAlgn val="ctr"/>
        <c:lblOffset val="100"/>
        <c:noMultiLvlLbl val="0"/>
      </c:catAx>
      <c:valAx>
        <c:axId val="89539694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9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Gross Margin</a:t>
            </a:r>
            <a:r>
              <a:rPr lang="en-US" b="1" baseline="0"/>
              <a:t> %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Capital Trend Analysis'!$A$12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name>Trend</c:name>
            <c:spPr>
              <a:ln w="5080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Analysis'!$B$12:$E$12</c:f>
              <c:numCache>
                <c:formatCode>0.0%</c:formatCode>
                <c:ptCount val="4"/>
                <c:pt idx="0">
                  <c:v>8.8428873888684284E-2</c:v>
                </c:pt>
                <c:pt idx="1">
                  <c:v>9.5481610270745504E-2</c:v>
                </c:pt>
                <c:pt idx="2">
                  <c:v>0.10166164364737088</c:v>
                </c:pt>
                <c:pt idx="3">
                  <c:v>0.10156187714075547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1-4EED-B310-88B349AB2EA7}"/>
            </c:ext>
          </c:extLst>
        </c:ser>
        <c:ser>
          <c:idx val="1"/>
          <c:order val="1"/>
          <c:tx>
            <c:strRef>
              <c:f>'Working Capital Trend Analysis'!$A$13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Analysis'!$B$13:$E$13</c:f>
              <c:numCache>
                <c:formatCode>0.0%</c:formatCode>
                <c:ptCount val="4"/>
                <c:pt idx="0">
                  <c:v>9.678350123688903E-2</c:v>
                </c:pt>
                <c:pt idx="1">
                  <c:v>9.678350123688903E-2</c:v>
                </c:pt>
                <c:pt idx="2">
                  <c:v>9.678350123688903E-2</c:v>
                </c:pt>
                <c:pt idx="3">
                  <c:v>9.678350123688903E-2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1-4EED-B310-88B349AB2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744911"/>
        <c:axId val="895473263"/>
      </c:lineChart>
      <c:catAx>
        <c:axId val="8917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3263"/>
        <c:crosses val="autoZero"/>
        <c:auto val="1"/>
        <c:lblAlgn val="ctr"/>
        <c:lblOffset val="100"/>
        <c:noMultiLvlLbl val="0"/>
      </c:catAx>
      <c:valAx>
        <c:axId val="89547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4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 Cash Flow ($000s)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Capital Trend Analysis'!$A$14</c:f>
              <c:strCache>
                <c:ptCount val="1"/>
                <c:pt idx="0">
                  <c:v>Operating Cash Flow ($000s)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name>Trend</c:name>
            <c:spPr>
              <a:ln w="5080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Analysis'!$B$14:$E$14</c:f>
              <c:numCache>
                <c:formatCode>#,##0_);\(#,##0\)</c:formatCode>
                <c:ptCount val="4"/>
                <c:pt idx="0">
                  <c:v>-177467</c:v>
                </c:pt>
                <c:pt idx="1">
                  <c:v>174294</c:v>
                </c:pt>
                <c:pt idx="2">
                  <c:v>189225</c:v>
                </c:pt>
                <c:pt idx="3">
                  <c:v>123964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6-4753-89BE-1999C7974468}"/>
            </c:ext>
          </c:extLst>
        </c:ser>
        <c:ser>
          <c:idx val="1"/>
          <c:order val="1"/>
          <c:tx>
            <c:strRef>
              <c:f>'Working Capital Trend Analysis'!$A$15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Analysis'!$B$15:$E$15</c:f>
              <c:numCache>
                <c:formatCode>#,##0_);\(#,##0\)</c:formatCode>
                <c:ptCount val="4"/>
                <c:pt idx="0">
                  <c:v>77504</c:v>
                </c:pt>
                <c:pt idx="1">
                  <c:v>77504</c:v>
                </c:pt>
                <c:pt idx="2">
                  <c:v>77504</c:v>
                </c:pt>
                <c:pt idx="3">
                  <c:v>77504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6-4753-89BE-1999C7974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696415"/>
        <c:axId val="895454543"/>
      </c:lineChart>
      <c:catAx>
        <c:axId val="87969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54543"/>
        <c:crosses val="autoZero"/>
        <c:auto val="1"/>
        <c:lblAlgn val="ctr"/>
        <c:lblOffset val="100"/>
        <c:noMultiLvlLbl val="0"/>
      </c:catAx>
      <c:valAx>
        <c:axId val="895454543"/>
        <c:scaling>
          <c:orientation val="minMax"/>
          <c:min val="-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6415"/>
        <c:crosses val="autoZero"/>
        <c:crossBetween val="between"/>
        <c:majorUnit val="6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CapEx ($000s)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Capital Trend Analysis'!$A$16</c:f>
              <c:strCache>
                <c:ptCount val="1"/>
                <c:pt idx="0">
                  <c:v>CapEx ($000s)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name>Trend</c:name>
            <c:spPr>
              <a:ln w="5080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Analysis'!$B$16:$E$16</c:f>
              <c:numCache>
                <c:formatCode>#,##0_);\(#,##0\)</c:formatCode>
                <c:ptCount val="4"/>
                <c:pt idx="0">
                  <c:v>46774</c:v>
                </c:pt>
                <c:pt idx="1">
                  <c:v>77739</c:v>
                </c:pt>
                <c:pt idx="2">
                  <c:v>33253</c:v>
                </c:pt>
                <c:pt idx="3">
                  <c:v>38544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A0-482E-9CCF-D67B775BAD42}"/>
            </c:ext>
          </c:extLst>
        </c:ser>
        <c:ser>
          <c:idx val="1"/>
          <c:order val="1"/>
          <c:tx>
            <c:strRef>
              <c:f>'Working Capital Trend Analysis'!$A$17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Analysis'!$B$17:$E$17</c:f>
              <c:numCache>
                <c:formatCode>#,##0_);\(#,##0\)</c:formatCode>
                <c:ptCount val="4"/>
                <c:pt idx="0">
                  <c:v>49077.5</c:v>
                </c:pt>
                <c:pt idx="1">
                  <c:v>49077.5</c:v>
                </c:pt>
                <c:pt idx="2">
                  <c:v>49077.5</c:v>
                </c:pt>
                <c:pt idx="3">
                  <c:v>49077.5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A0-482E-9CCF-D67B775B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813375"/>
        <c:axId val="895455503"/>
      </c:lineChart>
      <c:catAx>
        <c:axId val="99281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55503"/>
        <c:crosses val="autoZero"/>
        <c:auto val="1"/>
        <c:lblAlgn val="ctr"/>
        <c:lblOffset val="100"/>
        <c:noMultiLvlLbl val="0"/>
      </c:catAx>
      <c:valAx>
        <c:axId val="895455503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1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Payable Outstanding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Capital Trend Analysis'!$A$8</c:f>
              <c:strCache>
                <c:ptCount val="1"/>
                <c:pt idx="0">
                  <c:v>Days Payable Outstanding (DPO)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name>Trend</c:name>
            <c:spPr>
              <a:ln w="5080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Analysis'!$B$8:$E$8</c:f>
              <c:numCache>
                <c:formatCode>0.0</c:formatCode>
                <c:ptCount val="4"/>
                <c:pt idx="0">
                  <c:v>58.857327896815619</c:v>
                </c:pt>
                <c:pt idx="1">
                  <c:v>52.233298259359962</c:v>
                </c:pt>
                <c:pt idx="2">
                  <c:v>54.18490403301481</c:v>
                </c:pt>
                <c:pt idx="3">
                  <c:v>61.604570698572317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4A-44ED-85F6-E8BB0BC2C705}"/>
            </c:ext>
          </c:extLst>
        </c:ser>
        <c:ser>
          <c:idx val="1"/>
          <c:order val="1"/>
          <c:tx>
            <c:strRef>
              <c:f>'Working Capital Trend Analysis'!$A$9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'Working Capital Trend Analysis'!$B$3:$E$3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'Working Capital Trend Analysis'!$B$9:$E$9</c:f>
              <c:numCache>
                <c:formatCode>0.0</c:formatCode>
                <c:ptCount val="4"/>
                <c:pt idx="0">
                  <c:v>56.720025221940674</c:v>
                </c:pt>
                <c:pt idx="1">
                  <c:v>56.720025221940674</c:v>
                </c:pt>
                <c:pt idx="2">
                  <c:v>56.720025221940674</c:v>
                </c:pt>
                <c:pt idx="3">
                  <c:v>56.720025221940674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4A-44ED-85F6-E8BB0BC2C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071535"/>
        <c:axId val="895423823"/>
      </c:lineChart>
      <c:catAx>
        <c:axId val="101407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23823"/>
        <c:crosses val="autoZero"/>
        <c:auto val="1"/>
        <c:lblAlgn val="ctr"/>
        <c:lblOffset val="100"/>
        <c:noMultiLvlLbl val="0"/>
      </c:catAx>
      <c:valAx>
        <c:axId val="895423823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7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19</xdr:row>
      <xdr:rowOff>133350</xdr:rowOff>
    </xdr:from>
    <xdr:to>
      <xdr:col>2</xdr:col>
      <xdr:colOff>476250</xdr:colOff>
      <xdr:row>29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EB44AC-4261-459D-67C5-FBF6A7292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757237</xdr:colOff>
      <xdr:row>19</xdr:row>
      <xdr:rowOff>128587</xdr:rowOff>
    </xdr:from>
    <xdr:to>
      <xdr:col>7</xdr:col>
      <xdr:colOff>1457325</xdr:colOff>
      <xdr:row>29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907E37-DD9E-0CF7-431C-119DCE7F8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138112</xdr:colOff>
      <xdr:row>30</xdr:row>
      <xdr:rowOff>80962</xdr:rowOff>
    </xdr:from>
    <xdr:to>
      <xdr:col>2</xdr:col>
      <xdr:colOff>466725</xdr:colOff>
      <xdr:row>43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7BC315-0F47-D77D-CCB4-5C1A72E14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757237</xdr:colOff>
      <xdr:row>30</xdr:row>
      <xdr:rowOff>80962</xdr:rowOff>
    </xdr:from>
    <xdr:to>
      <xdr:col>7</xdr:col>
      <xdr:colOff>1466850</xdr:colOff>
      <xdr:row>43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BFB6C6-FB6E-81AB-EB09-6CCE4FD07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1743075</xdr:colOff>
      <xdr:row>30</xdr:row>
      <xdr:rowOff>90487</xdr:rowOff>
    </xdr:from>
    <xdr:to>
      <xdr:col>8</xdr:col>
      <xdr:colOff>9525</xdr:colOff>
      <xdr:row>43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B5A974-DEC0-F454-FC58-AAB33F7A6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128588</xdr:colOff>
      <xdr:row>44</xdr:row>
      <xdr:rowOff>52387</xdr:rowOff>
    </xdr:from>
    <xdr:to>
      <xdr:col>2</xdr:col>
      <xdr:colOff>485776</xdr:colOff>
      <xdr:row>57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A50957-89D1-A6E0-79F4-63A309870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1733549</xdr:colOff>
      <xdr:row>19</xdr:row>
      <xdr:rowOff>133350</xdr:rowOff>
    </xdr:from>
    <xdr:to>
      <xdr:col>7</xdr:col>
      <xdr:colOff>6124574</xdr:colOff>
      <xdr:row>29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51E699-D7A4-2BFF-E21B-45C717162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7261AC-07BA-4C43-8CE3-83EA83D92D95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9"/>
  <sheetViews>
    <sheetView zoomScaleNormal="100" workbookViewId="0">
      <selection activeCell="B28" sqref="B28:F28"/>
    </sheetView>
  </sheetViews>
  <sheetFormatPr defaultColWidth="8.7109375" defaultRowHeight="16.5" x14ac:dyDescent="0.3"/>
  <cols>
    <col min="1" max="1" width="4.5703125" style="25" customWidth="1"/>
    <col min="2" max="2" width="38" style="25" customWidth="1"/>
    <col min="3" max="5" width="18" style="25" customWidth="1"/>
    <col min="6" max="6" width="18.85546875" style="25" customWidth="1"/>
    <col min="7" max="7" width="14" style="25" customWidth="1"/>
    <col min="8" max="8" width="59.7109375" style="25" bestFit="1" customWidth="1"/>
    <col min="9" max="11" width="7.85546875" style="25" bestFit="1" customWidth="1"/>
    <col min="12" max="12" width="14.5703125" style="25" bestFit="1" customWidth="1"/>
    <col min="13" max="13" width="99.85546875" style="25" customWidth="1"/>
    <col min="14" max="16384" width="8.7109375" style="25"/>
  </cols>
  <sheetData>
    <row r="1" spans="2:6" s="24" customFormat="1" ht="9.75" customHeight="1" x14ac:dyDescent="0.3"/>
    <row r="2" spans="2:6" ht="22.5" customHeight="1" x14ac:dyDescent="0.3">
      <c r="B2" s="71" t="s">
        <v>168</v>
      </c>
      <c r="C2" s="71"/>
      <c r="D2" s="71"/>
      <c r="E2" s="71"/>
      <c r="F2" s="71"/>
    </row>
    <row r="3" spans="2:6" ht="22.5" customHeight="1" x14ac:dyDescent="0.3">
      <c r="B3" s="72" t="s">
        <v>167</v>
      </c>
      <c r="C3" s="72"/>
      <c r="D3" s="72"/>
      <c r="E3" s="72"/>
      <c r="F3" s="72"/>
    </row>
    <row r="4" spans="2:6" ht="18" customHeight="1" x14ac:dyDescent="0.3">
      <c r="B4" s="73" t="s">
        <v>209</v>
      </c>
      <c r="C4" s="73"/>
      <c r="D4" s="73"/>
      <c r="E4" s="73"/>
      <c r="F4" s="73"/>
    </row>
    <row r="5" spans="2:6" ht="17.25" customHeight="1" x14ac:dyDescent="0.3">
      <c r="B5" s="48" t="s">
        <v>178</v>
      </c>
      <c r="C5" s="54" t="s">
        <v>170</v>
      </c>
      <c r="D5" s="54" t="s">
        <v>0</v>
      </c>
      <c r="E5" s="54" t="s">
        <v>1</v>
      </c>
      <c r="F5" s="54" t="s">
        <v>2</v>
      </c>
    </row>
    <row r="6" spans="2:6" x14ac:dyDescent="0.3">
      <c r="B6" s="45" t="s">
        <v>179</v>
      </c>
      <c r="C6" s="46">
        <f>'Financial Statements'!C6</f>
        <v>2886331</v>
      </c>
      <c r="D6" s="46">
        <f>'Financial Statements'!D6</f>
        <v>2838976</v>
      </c>
      <c r="E6" s="46">
        <f>'Financial Statements'!E6</f>
        <v>2656105</v>
      </c>
      <c r="F6" s="47">
        <f>'Financial Statements'!F6</f>
        <v>2659108</v>
      </c>
    </row>
    <row r="7" spans="2:6" x14ac:dyDescent="0.3">
      <c r="B7" s="26" t="s">
        <v>180</v>
      </c>
      <c r="C7" s="27">
        <f>'Financial Statements'!C7</f>
        <v>2631096</v>
      </c>
      <c r="D7" s="27">
        <f>'Financial Statements'!D7</f>
        <v>2567906</v>
      </c>
      <c r="E7" s="27">
        <f>'Financial Statements'!E7</f>
        <v>2386081</v>
      </c>
      <c r="F7" s="28">
        <f>'Financial Statements'!F7</f>
        <v>2389044</v>
      </c>
    </row>
    <row r="8" spans="2:6" x14ac:dyDescent="0.3">
      <c r="B8" s="26" t="s">
        <v>181</v>
      </c>
      <c r="C8" s="27">
        <f>'Financial Statements'!C8</f>
        <v>255235</v>
      </c>
      <c r="D8" s="27">
        <f>'Financial Statements'!D8</f>
        <v>271070</v>
      </c>
      <c r="E8" s="27">
        <f>'Financial Statements'!E8</f>
        <v>270024</v>
      </c>
      <c r="F8" s="28">
        <f>'Financial Statements'!F8</f>
        <v>270064</v>
      </c>
    </row>
    <row r="9" spans="2:6" x14ac:dyDescent="0.3">
      <c r="B9" s="26" t="s">
        <v>3</v>
      </c>
      <c r="C9" s="29">
        <f>C8/C6</f>
        <v>8.8428873888684284E-2</v>
      </c>
      <c r="D9" s="29">
        <f>D8/D6</f>
        <v>9.5481610270745504E-2</v>
      </c>
      <c r="E9" s="29">
        <f t="shared" ref="E9:F9" si="0">E8/E6</f>
        <v>0.10166164364737088</v>
      </c>
      <c r="F9" s="30">
        <f t="shared" si="0"/>
        <v>0.10156187714075547</v>
      </c>
    </row>
    <row r="10" spans="2:6" x14ac:dyDescent="0.3">
      <c r="B10" s="26" t="s">
        <v>4</v>
      </c>
      <c r="C10" s="31">
        <f>'Financial Statements'!C72</f>
        <v>-177467</v>
      </c>
      <c r="D10" s="31">
        <f>'Financial Statements'!D72</f>
        <v>174294</v>
      </c>
      <c r="E10" s="31">
        <f>'Financial Statements'!E72</f>
        <v>189225</v>
      </c>
      <c r="F10" s="32">
        <f>'Financial Statements'!F72</f>
        <v>123964</v>
      </c>
    </row>
    <row r="11" spans="2:6" x14ac:dyDescent="0.3">
      <c r="B11" s="26" t="s">
        <v>182</v>
      </c>
      <c r="C11" s="31">
        <f>ABS('Financial Statements'!C76)</f>
        <v>46774</v>
      </c>
      <c r="D11" s="31">
        <f>ABS('Financial Statements'!D76)</f>
        <v>77739</v>
      </c>
      <c r="E11" s="31">
        <f>ABS('Financial Statements'!E76)</f>
        <v>33253</v>
      </c>
      <c r="F11" s="32">
        <f>ABS('Financial Statements'!F76)</f>
        <v>38544</v>
      </c>
    </row>
    <row r="12" spans="2:6" x14ac:dyDescent="0.3">
      <c r="B12" s="26" t="s">
        <v>183</v>
      </c>
      <c r="C12" s="27">
        <f>'Financial Statements'!C32</f>
        <v>207430</v>
      </c>
      <c r="D12" s="27">
        <f>'Financial Statements'!D32</f>
        <v>277391</v>
      </c>
      <c r="E12" s="27">
        <f>'Financial Statements'!E32</f>
        <v>315152</v>
      </c>
      <c r="F12" s="28">
        <f>'Financial Statements'!F32</f>
        <v>322064</v>
      </c>
    </row>
    <row r="13" spans="2:6" x14ac:dyDescent="0.3">
      <c r="B13" s="26" t="s">
        <v>184</v>
      </c>
      <c r="C13" s="27">
        <f>'Financial Statements'!C34</f>
        <v>491957</v>
      </c>
      <c r="D13" s="27">
        <f>'Financial Statements'!D34</f>
        <v>449404</v>
      </c>
      <c r="E13" s="27">
        <f>'Financial Statements'!E34</f>
        <v>412458</v>
      </c>
      <c r="F13" s="28">
        <f>'Financial Statements'!F34</f>
        <v>391101</v>
      </c>
    </row>
    <row r="14" spans="2:6" ht="15.75" customHeight="1" x14ac:dyDescent="0.3">
      <c r="B14" s="26" t="s">
        <v>185</v>
      </c>
      <c r="C14" s="27">
        <f>'Financial Statements'!C36</f>
        <v>727749</v>
      </c>
      <c r="D14" s="27">
        <f>'Financial Statements'!D36</f>
        <v>683801</v>
      </c>
      <c r="E14" s="27">
        <f>'Financial Statements'!E36</f>
        <v>553654</v>
      </c>
      <c r="F14" s="28">
        <f>'Financial Statements'!F36</f>
        <v>482544</v>
      </c>
    </row>
    <row r="15" spans="2:6" ht="15.75" customHeight="1" x14ac:dyDescent="0.3">
      <c r="B15" s="26" t="s">
        <v>186</v>
      </c>
      <c r="C15" s="27">
        <f>'Financial Statements'!C48</f>
        <v>424272</v>
      </c>
      <c r="D15" s="27">
        <f>'Financial Statements'!D48</f>
        <v>367480</v>
      </c>
      <c r="E15" s="27">
        <f>'Financial Statements'!E48</f>
        <v>354218</v>
      </c>
      <c r="F15" s="28">
        <f>'Financial Statements'!F48</f>
        <v>403222</v>
      </c>
    </row>
    <row r="16" spans="2:6" ht="15.75" customHeight="1" x14ac:dyDescent="0.3">
      <c r="B16" s="26" t="s">
        <v>5</v>
      </c>
      <c r="C16" s="33">
        <f>C13/(C6/365)</f>
        <v>62.211958711596139</v>
      </c>
      <c r="D16" s="33">
        <f t="shared" ref="D16:F16" si="1">D13/(D6/365)</f>
        <v>57.778741348993442</v>
      </c>
      <c r="E16" s="33">
        <f t="shared" si="1"/>
        <v>56.679675690531809</v>
      </c>
      <c r="F16" s="34">
        <f t="shared" si="1"/>
        <v>53.684117004649679</v>
      </c>
    </row>
    <row r="17" spans="2:6" ht="15.75" customHeight="1" x14ac:dyDescent="0.3">
      <c r="B17" s="26" t="s">
        <v>6</v>
      </c>
      <c r="C17" s="33">
        <f>C14/(C7/365)</f>
        <v>100.95731398626276</v>
      </c>
      <c r="D17" s="33">
        <f t="shared" ref="D17:F17" si="2">D14/(D7/365)</f>
        <v>97.194899268119627</v>
      </c>
      <c r="E17" s="33">
        <f t="shared" si="2"/>
        <v>84.692728369238097</v>
      </c>
      <c r="F17" s="34">
        <f t="shared" si="2"/>
        <v>73.723447538011015</v>
      </c>
    </row>
    <row r="18" spans="2:6" ht="15.75" customHeight="1" x14ac:dyDescent="0.3">
      <c r="B18" s="26" t="s">
        <v>7</v>
      </c>
      <c r="C18" s="33">
        <f>C15/(C7/365)</f>
        <v>58.857327896815619</v>
      </c>
      <c r="D18" s="33">
        <f t="shared" ref="D18:F18" si="3">D15/(D7/365)</f>
        <v>52.233298259359962</v>
      </c>
      <c r="E18" s="33">
        <f t="shared" si="3"/>
        <v>54.18490403301481</v>
      </c>
      <c r="F18" s="34">
        <f t="shared" si="3"/>
        <v>61.604570698572317</v>
      </c>
    </row>
    <row r="20" spans="2:6" x14ac:dyDescent="0.3">
      <c r="B20" s="80" t="s">
        <v>187</v>
      </c>
      <c r="C20" s="80"/>
      <c r="D20" s="80"/>
      <c r="E20" s="80"/>
      <c r="F20" s="80"/>
    </row>
    <row r="21" spans="2:6" ht="16.5" customHeight="1" x14ac:dyDescent="0.3">
      <c r="B21" s="83" t="s">
        <v>8</v>
      </c>
      <c r="C21" s="83"/>
      <c r="D21" s="83"/>
      <c r="E21" s="83"/>
      <c r="F21" s="83"/>
    </row>
    <row r="22" spans="2:6" ht="30.75" customHeight="1" x14ac:dyDescent="0.3">
      <c r="B22" s="35" t="s">
        <v>213</v>
      </c>
      <c r="C22" s="35"/>
      <c r="D22" s="35"/>
      <c r="E22" s="35"/>
      <c r="F22" s="35"/>
    </row>
    <row r="23" spans="2:6" ht="18" customHeight="1" x14ac:dyDescent="0.3">
      <c r="B23" s="83" t="s">
        <v>9</v>
      </c>
      <c r="C23" s="83"/>
      <c r="D23" s="83"/>
      <c r="E23" s="83"/>
      <c r="F23" s="83"/>
    </row>
    <row r="24" spans="2:6" ht="31.5" customHeight="1" x14ac:dyDescent="0.3">
      <c r="B24" s="35" t="s">
        <v>193</v>
      </c>
      <c r="C24" s="35"/>
      <c r="D24" s="35"/>
      <c r="E24" s="35"/>
      <c r="F24" s="35"/>
    </row>
    <row r="25" spans="2:6" x14ac:dyDescent="0.3">
      <c r="B25" s="83" t="s">
        <v>10</v>
      </c>
      <c r="C25" s="83"/>
      <c r="D25" s="83"/>
      <c r="E25" s="83"/>
      <c r="F25" s="83"/>
    </row>
    <row r="26" spans="2:6" ht="27.75" customHeight="1" x14ac:dyDescent="0.3">
      <c r="B26" s="35" t="s">
        <v>214</v>
      </c>
      <c r="C26" s="35"/>
      <c r="D26" s="35"/>
      <c r="E26" s="35"/>
      <c r="F26" s="35"/>
    </row>
    <row r="27" spans="2:6" ht="18" customHeight="1" x14ac:dyDescent="0.3">
      <c r="B27" s="83" t="s">
        <v>11</v>
      </c>
      <c r="C27" s="83"/>
      <c r="D27" s="83"/>
      <c r="E27" s="83"/>
      <c r="F27" s="83"/>
    </row>
    <row r="28" spans="2:6" ht="39.75" customHeight="1" x14ac:dyDescent="0.3">
      <c r="B28" s="35" t="s">
        <v>12</v>
      </c>
      <c r="C28" s="35"/>
      <c r="D28" s="35"/>
      <c r="E28" s="35"/>
      <c r="F28" s="35"/>
    </row>
    <row r="31" spans="2:6" ht="18" customHeight="1" x14ac:dyDescent="0.3"/>
    <row r="32" spans="2:6" ht="27.75" customHeight="1" x14ac:dyDescent="0.3"/>
    <row r="33" ht="36" customHeight="1" x14ac:dyDescent="0.3"/>
    <row r="34" ht="36" customHeight="1" x14ac:dyDescent="0.3"/>
    <row r="35" ht="36" customHeight="1" x14ac:dyDescent="0.3"/>
    <row r="36" ht="48" customHeight="1" x14ac:dyDescent="0.3"/>
    <row r="37" ht="36" customHeight="1" x14ac:dyDescent="0.3"/>
    <row r="38" ht="48" customHeight="1" x14ac:dyDescent="0.3"/>
    <row r="39" ht="36" customHeight="1" x14ac:dyDescent="0.3"/>
    <row r="41" ht="18" customHeight="1" x14ac:dyDescent="0.3"/>
    <row r="42" ht="18" customHeight="1" x14ac:dyDescent="0.3"/>
    <row r="43" ht="36" customHeight="1" x14ac:dyDescent="0.3"/>
    <row r="44" ht="18" customHeight="1" x14ac:dyDescent="0.3"/>
    <row r="45" ht="36" customHeight="1" x14ac:dyDescent="0.3"/>
    <row r="46" ht="18" customHeight="1" x14ac:dyDescent="0.3"/>
    <row r="47" ht="36" customHeight="1" x14ac:dyDescent="0.3"/>
    <row r="48" ht="18" customHeight="1" x14ac:dyDescent="0.3"/>
    <row r="49" ht="36" customHeight="1" x14ac:dyDescent="0.3"/>
  </sheetData>
  <mergeCells count="12">
    <mergeCell ref="B28:F28"/>
    <mergeCell ref="B21:F21"/>
    <mergeCell ref="B22:F22"/>
    <mergeCell ref="B23:F23"/>
    <mergeCell ref="B24:F24"/>
    <mergeCell ref="B25:F25"/>
    <mergeCell ref="B2:F2"/>
    <mergeCell ref="B4:F4"/>
    <mergeCell ref="B26:F26"/>
    <mergeCell ref="B27:F27"/>
    <mergeCell ref="B20:F20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2"/>
  <sheetViews>
    <sheetView zoomScaleNormal="100" workbookViewId="0">
      <selection activeCell="J26" sqref="J26"/>
    </sheetView>
  </sheetViews>
  <sheetFormatPr defaultColWidth="8.7109375" defaultRowHeight="16.5" outlineLevelRow="1" x14ac:dyDescent="0.3"/>
  <cols>
    <col min="1" max="1" width="3" style="10" customWidth="1"/>
    <col min="2" max="2" width="42" style="10" customWidth="1"/>
    <col min="3" max="3" width="14.42578125" style="10" customWidth="1"/>
    <col min="4" max="6" width="16" style="10" customWidth="1"/>
    <col min="7" max="7" width="20" style="10" hidden="1" customWidth="1"/>
    <col min="8" max="16384" width="8.7109375" style="10"/>
  </cols>
  <sheetData>
    <row r="1" spans="2:7" ht="7.5" customHeight="1" x14ac:dyDescent="0.3"/>
    <row r="2" spans="2:7" ht="30.75" customHeight="1" x14ac:dyDescent="0.3">
      <c r="B2" s="71" t="s">
        <v>176</v>
      </c>
      <c r="C2" s="71"/>
      <c r="D2" s="71"/>
      <c r="E2" s="71"/>
      <c r="F2" s="71"/>
      <c r="G2" s="71"/>
    </row>
    <row r="3" spans="2:7" ht="26.25" customHeight="1" x14ac:dyDescent="0.3">
      <c r="B3" s="72" t="s">
        <v>177</v>
      </c>
      <c r="C3" s="72"/>
      <c r="D3" s="72"/>
      <c r="E3" s="72"/>
      <c r="F3" s="72"/>
      <c r="G3" s="74"/>
    </row>
    <row r="4" spans="2:7" ht="19.5" customHeight="1" thickBot="1" x14ac:dyDescent="0.35">
      <c r="B4" s="49"/>
      <c r="C4" s="53" t="s">
        <v>170</v>
      </c>
      <c r="D4" s="53" t="s">
        <v>0</v>
      </c>
      <c r="E4" s="53" t="s">
        <v>1</v>
      </c>
      <c r="F4" s="53" t="s">
        <v>2</v>
      </c>
      <c r="G4" s="12" t="s">
        <v>169</v>
      </c>
    </row>
    <row r="5" spans="2:7" ht="18" customHeight="1" x14ac:dyDescent="0.3">
      <c r="B5" s="51" t="s">
        <v>22</v>
      </c>
      <c r="C5" s="51"/>
      <c r="D5" s="51"/>
      <c r="E5" s="51"/>
      <c r="F5" s="51"/>
      <c r="G5" s="49"/>
    </row>
    <row r="6" spans="2:7" ht="15.75" customHeight="1" outlineLevel="1" x14ac:dyDescent="0.3">
      <c r="B6" s="11" t="s">
        <v>23</v>
      </c>
      <c r="C6" s="4">
        <v>2886331</v>
      </c>
      <c r="D6" s="4">
        <v>2838976</v>
      </c>
      <c r="E6" s="4">
        <v>2656105</v>
      </c>
      <c r="F6" s="4">
        <v>2659108</v>
      </c>
      <c r="G6" s="13"/>
    </row>
    <row r="7" spans="2:7" ht="15.75" customHeight="1" outlineLevel="1" x14ac:dyDescent="0.3">
      <c r="B7" s="14" t="s">
        <v>24</v>
      </c>
      <c r="C7" s="5">
        <v>2631096</v>
      </c>
      <c r="D7" s="5">
        <v>2567906</v>
      </c>
      <c r="E7" s="5">
        <v>2386081</v>
      </c>
      <c r="F7" s="5">
        <v>2389044</v>
      </c>
      <c r="G7" s="13"/>
    </row>
    <row r="8" spans="2:7" ht="15.75" customHeight="1" outlineLevel="1" x14ac:dyDescent="0.3">
      <c r="B8" s="11" t="s">
        <v>25</v>
      </c>
      <c r="C8" s="4">
        <f>C6-C7</f>
        <v>255235</v>
      </c>
      <c r="D8" s="4">
        <f t="shared" ref="D8:F8" si="0">D6-D7</f>
        <v>271070</v>
      </c>
      <c r="E8" s="4">
        <f t="shared" si="0"/>
        <v>270024</v>
      </c>
      <c r="F8" s="4">
        <f t="shared" si="0"/>
        <v>270064</v>
      </c>
      <c r="G8" s="15"/>
    </row>
    <row r="9" spans="2:7" ht="15.75" customHeight="1" outlineLevel="1" x14ac:dyDescent="0.3">
      <c r="B9" s="14" t="s">
        <v>26</v>
      </c>
      <c r="C9" s="6">
        <f>C8/C6</f>
        <v>8.8428873888684284E-2</v>
      </c>
      <c r="D9" s="6">
        <f>D8/D6</f>
        <v>9.5481610270745504E-2</v>
      </c>
      <c r="E9" s="6">
        <f>E8/E6</f>
        <v>0.10166164364737088</v>
      </c>
      <c r="F9" s="6">
        <f>F8/F6</f>
        <v>0.10156187714075547</v>
      </c>
      <c r="G9" s="13"/>
    </row>
    <row r="10" spans="2:7" ht="15.75" customHeight="1" outlineLevel="1" x14ac:dyDescent="0.3">
      <c r="B10" s="14" t="s">
        <v>27</v>
      </c>
      <c r="C10" s="5">
        <v>150215</v>
      </c>
      <c r="D10" s="5">
        <v>147025</v>
      </c>
      <c r="E10" s="5">
        <v>149460</v>
      </c>
      <c r="F10" s="5">
        <v>159658</v>
      </c>
      <c r="G10" s="13"/>
    </row>
    <row r="11" spans="2:7" ht="15.75" customHeight="1" outlineLevel="1" x14ac:dyDescent="0.3">
      <c r="B11" s="14" t="s">
        <v>28</v>
      </c>
      <c r="C11" s="5">
        <v>6384</v>
      </c>
      <c r="D11" s="5">
        <v>5979</v>
      </c>
      <c r="E11" s="5">
        <v>4817</v>
      </c>
      <c r="F11" s="5">
        <v>4817</v>
      </c>
      <c r="G11" s="13"/>
    </row>
    <row r="12" spans="2:7" ht="15.75" customHeight="1" outlineLevel="1" x14ac:dyDescent="0.3">
      <c r="B12" s="14" t="s">
        <v>29</v>
      </c>
      <c r="C12" s="5">
        <v>8567</v>
      </c>
      <c r="D12" s="5">
        <v>8402</v>
      </c>
      <c r="E12" s="5">
        <v>6336</v>
      </c>
      <c r="F12" s="5">
        <v>29540</v>
      </c>
      <c r="G12" s="13"/>
    </row>
    <row r="13" spans="2:7" ht="15.75" customHeight="1" outlineLevel="1" x14ac:dyDescent="0.3">
      <c r="B13" s="14" t="s">
        <v>30</v>
      </c>
      <c r="C13" s="5">
        <f>C10+C11+C12</f>
        <v>165166</v>
      </c>
      <c r="D13" s="5">
        <f>D10+D11+D12</f>
        <v>161406</v>
      </c>
      <c r="E13" s="5">
        <f>E10+E11+E12</f>
        <v>160613</v>
      </c>
      <c r="F13" s="5">
        <f>F10+F11+F12</f>
        <v>194015</v>
      </c>
      <c r="G13" s="13"/>
    </row>
    <row r="14" spans="2:7" ht="15.75" customHeight="1" outlineLevel="1" x14ac:dyDescent="0.3">
      <c r="B14" s="11" t="s">
        <v>31</v>
      </c>
      <c r="C14" s="4">
        <f>C8-C13</f>
        <v>90069</v>
      </c>
      <c r="D14" s="4">
        <f t="shared" ref="D14:F14" si="1">D8-D13</f>
        <v>109664</v>
      </c>
      <c r="E14" s="4">
        <f t="shared" si="1"/>
        <v>109411</v>
      </c>
      <c r="F14" s="4">
        <f t="shared" si="1"/>
        <v>76049</v>
      </c>
      <c r="G14" s="13"/>
    </row>
    <row r="15" spans="2:7" ht="15.75" customHeight="1" outlineLevel="1" x14ac:dyDescent="0.3">
      <c r="B15" s="14" t="s">
        <v>32</v>
      </c>
      <c r="C15" s="6">
        <f>C14/C6</f>
        <v>3.1205360715732187E-2</v>
      </c>
      <c r="D15" s="6">
        <f>D14/D6</f>
        <v>3.8628012353750081E-2</v>
      </c>
      <c r="E15" s="6">
        <f>E14/E6</f>
        <v>4.1192272142855799E-2</v>
      </c>
      <c r="F15" s="6">
        <f>F14/F6</f>
        <v>2.85994401130003E-2</v>
      </c>
      <c r="G15" s="13"/>
    </row>
    <row r="16" spans="2:7" ht="15.75" customHeight="1" outlineLevel="1" x14ac:dyDescent="0.3">
      <c r="B16" s="14" t="s">
        <v>33</v>
      </c>
      <c r="C16" s="5">
        <v>-12894</v>
      </c>
      <c r="D16" s="5">
        <v>-31875</v>
      </c>
      <c r="E16" s="5">
        <v>-26922</v>
      </c>
      <c r="F16" s="5">
        <v>-20158</v>
      </c>
      <c r="G16" s="13"/>
    </row>
    <row r="17" spans="2:7" ht="15.75" customHeight="1" outlineLevel="1" x14ac:dyDescent="0.3">
      <c r="B17" s="14" t="s">
        <v>34</v>
      </c>
      <c r="C17" s="5">
        <v>1730</v>
      </c>
      <c r="D17" s="5">
        <v>6256</v>
      </c>
      <c r="E17" s="5">
        <v>10208</v>
      </c>
      <c r="F17" s="5">
        <v>9552</v>
      </c>
      <c r="G17" s="13"/>
    </row>
    <row r="18" spans="2:7" ht="15.75" customHeight="1" outlineLevel="1" x14ac:dyDescent="0.3">
      <c r="B18" s="14" t="s">
        <v>35</v>
      </c>
      <c r="C18" s="5">
        <v>5437</v>
      </c>
      <c r="D18" s="5">
        <v>-2825</v>
      </c>
      <c r="E18" s="5">
        <v>-8802</v>
      </c>
      <c r="F18" s="5">
        <v>-3909</v>
      </c>
      <c r="G18" s="13"/>
    </row>
    <row r="19" spans="2:7" ht="15.75" customHeight="1" outlineLevel="1" x14ac:dyDescent="0.3">
      <c r="B19" s="11" t="s">
        <v>36</v>
      </c>
      <c r="C19" s="4">
        <f>C14+C16+C17+C18</f>
        <v>84342</v>
      </c>
      <c r="D19" s="4">
        <f t="shared" ref="D19:F19" si="2">D14+D16+D17+D18</f>
        <v>81220</v>
      </c>
      <c r="E19" s="4">
        <f t="shared" si="2"/>
        <v>83895</v>
      </c>
      <c r="F19" s="4">
        <f t="shared" si="2"/>
        <v>61534</v>
      </c>
      <c r="G19" s="13"/>
    </row>
    <row r="20" spans="2:7" ht="15.75" customHeight="1" outlineLevel="1" x14ac:dyDescent="0.3">
      <c r="B20" s="14" t="s">
        <v>37</v>
      </c>
      <c r="C20" s="5">
        <v>16113</v>
      </c>
      <c r="D20" s="5">
        <v>12277</v>
      </c>
      <c r="E20" s="5">
        <v>22769</v>
      </c>
      <c r="F20" s="5">
        <v>36682</v>
      </c>
      <c r="G20" s="13"/>
    </row>
    <row r="21" spans="2:7" ht="15.75" customHeight="1" outlineLevel="1" x14ac:dyDescent="0.3">
      <c r="B21" s="14" t="s">
        <v>38</v>
      </c>
      <c r="C21" s="6">
        <f>IF(C19=0,0,C20/C19)</f>
        <v>0.19104360816674967</v>
      </c>
      <c r="D21" s="6">
        <f>IF(D19=0,0,D20/D19)</f>
        <v>0.15115735040630388</v>
      </c>
      <c r="E21" s="6">
        <f>IF(E19=0,0,E20/E19)</f>
        <v>0.27139877227486742</v>
      </c>
      <c r="F21" s="6">
        <f>IF(F19=0,0,F20/F19)</f>
        <v>0.59612571911463585</v>
      </c>
      <c r="G21" s="13"/>
    </row>
    <row r="22" spans="2:7" ht="15.75" customHeight="1" outlineLevel="1" x14ac:dyDescent="0.3">
      <c r="B22" s="11" t="s">
        <v>39</v>
      </c>
      <c r="C22" s="4">
        <f>C19-C20</f>
        <v>68229</v>
      </c>
      <c r="D22" s="4">
        <f t="shared" ref="D22:F22" si="3">D19-D20</f>
        <v>68943</v>
      </c>
      <c r="E22" s="4">
        <f t="shared" si="3"/>
        <v>61126</v>
      </c>
      <c r="F22" s="4">
        <f t="shared" si="3"/>
        <v>24852</v>
      </c>
      <c r="G22" s="13"/>
    </row>
    <row r="23" spans="2:7" ht="15.75" customHeight="1" outlineLevel="1" x14ac:dyDescent="0.3">
      <c r="B23" s="14" t="s">
        <v>40</v>
      </c>
      <c r="C23" s="6">
        <f>C22/C6</f>
        <v>2.3638660985174604E-2</v>
      </c>
      <c r="D23" s="6">
        <f>D22/D6</f>
        <v>2.4284460312450688E-2</v>
      </c>
      <c r="E23" s="6">
        <f>E22/E6</f>
        <v>2.301339743722481E-2</v>
      </c>
      <c r="F23" s="6">
        <f>F22/F6</f>
        <v>9.3459912120906711E-3</v>
      </c>
      <c r="G23" s="13"/>
    </row>
    <row r="24" spans="2:7" ht="15.75" customHeight="1" outlineLevel="1" x14ac:dyDescent="0.3">
      <c r="B24" s="14" t="s">
        <v>41</v>
      </c>
      <c r="C24" s="7">
        <v>1.94</v>
      </c>
      <c r="D24" s="7">
        <v>1.94</v>
      </c>
      <c r="E24" s="7">
        <v>1.7</v>
      </c>
      <c r="F24" s="7">
        <v>0.69</v>
      </c>
      <c r="G24" s="13"/>
    </row>
    <row r="25" spans="2:7" ht="15.75" customHeight="1" outlineLevel="1" x14ac:dyDescent="0.3">
      <c r="B25" s="14" t="s">
        <v>42</v>
      </c>
      <c r="C25" s="7">
        <v>1.91</v>
      </c>
      <c r="D25" s="7">
        <v>1.92</v>
      </c>
      <c r="E25" s="7">
        <v>1.66</v>
      </c>
      <c r="F25" s="7">
        <v>0.68</v>
      </c>
      <c r="G25" s="13"/>
    </row>
    <row r="26" spans="2:7" ht="15.75" customHeight="1" outlineLevel="1" x14ac:dyDescent="0.3">
      <c r="B26" s="14" t="s">
        <v>43</v>
      </c>
      <c r="C26" s="5">
        <v>35179</v>
      </c>
      <c r="D26" s="5">
        <v>35566</v>
      </c>
      <c r="E26" s="5">
        <v>35970</v>
      </c>
      <c r="F26" s="5">
        <v>35879</v>
      </c>
      <c r="G26" s="13"/>
    </row>
    <row r="27" spans="2:7" ht="15.75" customHeight="1" outlineLevel="1" x14ac:dyDescent="0.3">
      <c r="B27" s="14" t="s">
        <v>44</v>
      </c>
      <c r="C27" s="5">
        <v>35718</v>
      </c>
      <c r="D27" s="5">
        <v>35973</v>
      </c>
      <c r="E27" s="5">
        <v>36759</v>
      </c>
      <c r="F27" s="5">
        <v>36300</v>
      </c>
      <c r="G27" s="13"/>
    </row>
    <row r="28" spans="2:7" ht="17.25" outlineLevel="1" thickBot="1" x14ac:dyDescent="0.35"/>
    <row r="29" spans="2:7" ht="18" customHeight="1" x14ac:dyDescent="0.3">
      <c r="B29" s="51" t="s">
        <v>45</v>
      </c>
      <c r="C29" s="51"/>
      <c r="D29" s="51"/>
      <c r="E29" s="51"/>
      <c r="F29" s="51"/>
      <c r="G29" s="50"/>
    </row>
    <row r="30" spans="2:7" ht="15.75" customHeight="1" outlineLevel="1" x14ac:dyDescent="0.3">
      <c r="B30" s="11" t="s">
        <v>46</v>
      </c>
      <c r="C30" s="11"/>
      <c r="D30" s="16"/>
      <c r="E30" s="17"/>
      <c r="F30" s="17"/>
      <c r="G30" s="15"/>
    </row>
    <row r="31" spans="2:7" ht="15.75" customHeight="1" outlineLevel="1" x14ac:dyDescent="0.3">
      <c r="B31" s="14" t="s">
        <v>47</v>
      </c>
      <c r="C31" s="14"/>
      <c r="D31" s="16"/>
      <c r="E31" s="17"/>
      <c r="F31" s="17"/>
      <c r="G31" s="15"/>
    </row>
    <row r="32" spans="2:7" ht="15.75" customHeight="1" outlineLevel="1" x14ac:dyDescent="0.3">
      <c r="B32" s="14" t="s">
        <v>48</v>
      </c>
      <c r="C32" s="18">
        <v>207430</v>
      </c>
      <c r="D32" s="18">
        <v>277391</v>
      </c>
      <c r="E32" s="18">
        <v>315152</v>
      </c>
      <c r="F32" s="18">
        <v>322064</v>
      </c>
      <c r="G32" s="15"/>
    </row>
    <row r="33" spans="2:7" ht="15.75" customHeight="1" outlineLevel="1" x14ac:dyDescent="0.3">
      <c r="B33" s="14" t="s">
        <v>49</v>
      </c>
      <c r="C33" s="18">
        <v>0</v>
      </c>
      <c r="D33" s="18">
        <v>5822</v>
      </c>
      <c r="E33" s="18">
        <v>12875</v>
      </c>
      <c r="F33" s="18">
        <v>336</v>
      </c>
      <c r="G33" s="15"/>
    </row>
    <row r="34" spans="2:7" ht="15.75" customHeight="1" outlineLevel="1" x14ac:dyDescent="0.3">
      <c r="B34" s="14" t="s">
        <v>50</v>
      </c>
      <c r="C34" s="18">
        <v>491957</v>
      </c>
      <c r="D34" s="18">
        <v>449404</v>
      </c>
      <c r="E34" s="18">
        <v>412458</v>
      </c>
      <c r="F34" s="18">
        <v>391101</v>
      </c>
      <c r="G34" s="15"/>
    </row>
    <row r="35" spans="2:7" ht="15.75" customHeight="1" outlineLevel="1" x14ac:dyDescent="0.3">
      <c r="B35" s="14" t="s">
        <v>51</v>
      </c>
      <c r="C35" s="18">
        <v>183613</v>
      </c>
      <c r="D35" s="18">
        <v>174979</v>
      </c>
      <c r="E35" s="18">
        <v>167578</v>
      </c>
      <c r="F35" s="18">
        <v>182870</v>
      </c>
      <c r="G35" s="15"/>
    </row>
    <row r="36" spans="2:7" ht="15.75" customHeight="1" outlineLevel="1" x14ac:dyDescent="0.3">
      <c r="B36" s="14" t="s">
        <v>52</v>
      </c>
      <c r="C36" s="18">
        <v>727749</v>
      </c>
      <c r="D36" s="18">
        <v>683801</v>
      </c>
      <c r="E36" s="18">
        <v>553654</v>
      </c>
      <c r="F36" s="18">
        <v>482544</v>
      </c>
      <c r="G36" s="15"/>
    </row>
    <row r="37" spans="2:7" ht="15.75" customHeight="1" outlineLevel="1" x14ac:dyDescent="0.3">
      <c r="B37" s="14" t="s">
        <v>53</v>
      </c>
      <c r="C37" s="18">
        <v>41400</v>
      </c>
      <c r="D37" s="18">
        <v>44350</v>
      </c>
      <c r="E37" s="18">
        <v>44720</v>
      </c>
      <c r="F37" s="18">
        <v>69226</v>
      </c>
      <c r="G37" s="15"/>
    </row>
    <row r="38" spans="2:7" ht="15.75" customHeight="1" outlineLevel="1" x14ac:dyDescent="0.3">
      <c r="B38" s="11" t="s">
        <v>54</v>
      </c>
      <c r="C38" s="19">
        <f>SUM(C32:C37)</f>
        <v>1652149</v>
      </c>
      <c r="D38" s="19">
        <f>SUM(D32:D37)</f>
        <v>1635747</v>
      </c>
      <c r="E38" s="19">
        <v>1506437</v>
      </c>
      <c r="F38" s="19">
        <v>1448141</v>
      </c>
      <c r="G38" s="15"/>
    </row>
    <row r="39" spans="2:7" ht="15.75" customHeight="1" outlineLevel="1" x14ac:dyDescent="0.3">
      <c r="B39" s="14" t="s">
        <v>55</v>
      </c>
      <c r="C39" s="18">
        <v>211478</v>
      </c>
      <c r="D39" s="18">
        <v>227698</v>
      </c>
      <c r="E39" s="18">
        <v>225097</v>
      </c>
      <c r="F39" s="18">
        <v>223784</v>
      </c>
      <c r="G39" s="15"/>
    </row>
    <row r="40" spans="2:7" ht="15.75" customHeight="1" outlineLevel="1" x14ac:dyDescent="0.3">
      <c r="B40" s="14" t="s">
        <v>56</v>
      </c>
      <c r="C40" s="18">
        <v>93081</v>
      </c>
      <c r="D40" s="18">
        <v>130830</v>
      </c>
      <c r="E40" s="18">
        <v>117995</v>
      </c>
      <c r="F40" s="18">
        <v>102664</v>
      </c>
      <c r="G40" s="15"/>
    </row>
    <row r="41" spans="2:7" ht="15.75" customHeight="1" outlineLevel="1" x14ac:dyDescent="0.3">
      <c r="B41" s="14" t="s">
        <v>57</v>
      </c>
      <c r="C41" s="18">
        <v>192116</v>
      </c>
      <c r="D41" s="18">
        <v>192116</v>
      </c>
      <c r="E41" s="18">
        <v>192116</v>
      </c>
      <c r="F41" s="18">
        <v>192116</v>
      </c>
      <c r="G41" s="15"/>
    </row>
    <row r="42" spans="2:7" ht="15.75" customHeight="1" outlineLevel="1" x14ac:dyDescent="0.3">
      <c r="B42" s="14" t="s">
        <v>58</v>
      </c>
      <c r="C42" s="18">
        <v>12235</v>
      </c>
      <c r="D42" s="18">
        <v>26943</v>
      </c>
      <c r="E42" s="18">
        <v>26664</v>
      </c>
      <c r="F42" s="18">
        <v>34936</v>
      </c>
      <c r="G42" s="15"/>
    </row>
    <row r="43" spans="2:7" ht="15.75" customHeight="1" outlineLevel="1" x14ac:dyDescent="0.3">
      <c r="B43" s="14" t="s">
        <v>59</v>
      </c>
      <c r="C43" s="18">
        <v>66272</v>
      </c>
      <c r="D43" s="18">
        <v>61421</v>
      </c>
      <c r="E43" s="18">
        <v>66135</v>
      </c>
      <c r="F43" s="18">
        <v>70074</v>
      </c>
      <c r="G43" s="15"/>
    </row>
    <row r="44" spans="2:7" ht="15.75" customHeight="1" outlineLevel="1" x14ac:dyDescent="0.3">
      <c r="B44" s="11" t="s">
        <v>60</v>
      </c>
      <c r="C44" s="19">
        <f>SUM(C39:C43)+C38</f>
        <v>2227331</v>
      </c>
      <c r="D44" s="19">
        <f>SUM(D39:D43)+D38</f>
        <v>2274755</v>
      </c>
      <c r="E44" s="19">
        <v>2134444</v>
      </c>
      <c r="F44" s="19">
        <v>2071715</v>
      </c>
      <c r="G44" s="15"/>
    </row>
    <row r="45" spans="2:7" ht="15.75" customHeight="1" outlineLevel="1" x14ac:dyDescent="0.3">
      <c r="B45" s="11" t="s">
        <v>61</v>
      </c>
      <c r="C45" s="19"/>
      <c r="D45" s="18"/>
      <c r="E45" s="17"/>
      <c r="F45" s="17"/>
      <c r="G45" s="15"/>
    </row>
    <row r="46" spans="2:7" ht="15.75" customHeight="1" outlineLevel="1" x14ac:dyDescent="0.3">
      <c r="B46" s="14" t="s">
        <v>62</v>
      </c>
      <c r="C46" s="18"/>
      <c r="D46" s="18"/>
      <c r="E46" s="17"/>
      <c r="F46" s="17"/>
      <c r="G46" s="15"/>
    </row>
    <row r="47" spans="2:7" ht="15.75" customHeight="1" outlineLevel="1" x14ac:dyDescent="0.3">
      <c r="B47" s="14" t="s">
        <v>63</v>
      </c>
      <c r="C47" s="18">
        <v>4275</v>
      </c>
      <c r="D47" s="18">
        <v>4283</v>
      </c>
      <c r="E47" s="18">
        <v>6737</v>
      </c>
      <c r="F47" s="18">
        <v>3750</v>
      </c>
      <c r="G47" s="15"/>
    </row>
    <row r="48" spans="2:7" ht="15.75" customHeight="1" outlineLevel="1" x14ac:dyDescent="0.3">
      <c r="B48" s="14" t="s">
        <v>64</v>
      </c>
      <c r="C48" s="18">
        <v>424272</v>
      </c>
      <c r="D48" s="18">
        <v>367480</v>
      </c>
      <c r="E48" s="18">
        <v>354218</v>
      </c>
      <c r="F48" s="18">
        <v>403222</v>
      </c>
      <c r="G48" s="15"/>
    </row>
    <row r="49" spans="2:7" ht="15.75" customHeight="1" outlineLevel="1" x14ac:dyDescent="0.3">
      <c r="B49" s="14" t="s">
        <v>65</v>
      </c>
      <c r="C49" s="18">
        <v>197937</v>
      </c>
      <c r="D49" s="18">
        <v>204883</v>
      </c>
      <c r="E49" s="18">
        <v>143614</v>
      </c>
      <c r="F49" s="18">
        <v>115545</v>
      </c>
      <c r="G49" s="15"/>
    </row>
    <row r="50" spans="2:7" ht="15.75" customHeight="1" outlineLevel="1" x14ac:dyDescent="0.3">
      <c r="B50" s="14" t="s">
        <v>66</v>
      </c>
      <c r="C50" s="18">
        <v>12236</v>
      </c>
      <c r="D50" s="18">
        <v>22225</v>
      </c>
      <c r="E50" s="18">
        <v>22125</v>
      </c>
      <c r="F50" s="18">
        <v>7685</v>
      </c>
      <c r="G50" s="15"/>
    </row>
    <row r="51" spans="2:7" ht="15.75" customHeight="1" outlineLevel="1" x14ac:dyDescent="0.3">
      <c r="B51" s="14" t="s">
        <v>67</v>
      </c>
      <c r="C51" s="18">
        <v>110416</v>
      </c>
      <c r="D51" s="18">
        <v>114676</v>
      </c>
      <c r="E51" s="18">
        <v>122411</v>
      </c>
      <c r="F51" s="18">
        <v>105375</v>
      </c>
      <c r="G51" s="15"/>
    </row>
    <row r="52" spans="2:7" ht="15.75" customHeight="1" outlineLevel="1" x14ac:dyDescent="0.3">
      <c r="B52" s="11" t="s">
        <v>68</v>
      </c>
      <c r="C52" s="19">
        <f>SUM(C47:C51)</f>
        <v>749136</v>
      </c>
      <c r="D52" s="19">
        <f>SUM(D47:D51)</f>
        <v>713547</v>
      </c>
      <c r="E52" s="19">
        <v>649105</v>
      </c>
      <c r="F52" s="19">
        <v>635577</v>
      </c>
      <c r="G52" s="15"/>
    </row>
    <row r="53" spans="2:7" ht="15.75" customHeight="1" outlineLevel="1" x14ac:dyDescent="0.3">
      <c r="B53" s="14" t="s">
        <v>69</v>
      </c>
      <c r="C53" s="18">
        <v>320675</v>
      </c>
      <c r="D53" s="18">
        <v>326674</v>
      </c>
      <c r="E53" s="18">
        <v>250457</v>
      </c>
      <c r="F53" s="18">
        <v>206826</v>
      </c>
      <c r="G53" s="15"/>
    </row>
    <row r="54" spans="2:7" ht="15.75" customHeight="1" outlineLevel="1" x14ac:dyDescent="0.3">
      <c r="B54" s="14" t="s">
        <v>70</v>
      </c>
      <c r="C54" s="18">
        <v>86687</v>
      </c>
      <c r="D54" s="18">
        <v>123385</v>
      </c>
      <c r="E54" s="18">
        <v>108997</v>
      </c>
      <c r="F54" s="18">
        <v>98689</v>
      </c>
      <c r="G54" s="15"/>
    </row>
    <row r="55" spans="2:7" ht="15.75" customHeight="1" outlineLevel="1" x14ac:dyDescent="0.3">
      <c r="B55" s="14" t="s">
        <v>71</v>
      </c>
      <c r="C55" s="18">
        <v>43922</v>
      </c>
      <c r="D55" s="18">
        <v>32064</v>
      </c>
      <c r="E55" s="18">
        <v>17598</v>
      </c>
      <c r="F55" s="18">
        <v>23307</v>
      </c>
      <c r="G55" s="15"/>
    </row>
    <row r="56" spans="2:7" ht="15.75" customHeight="1" outlineLevel="1" x14ac:dyDescent="0.3">
      <c r="B56" s="14" t="s">
        <v>72</v>
      </c>
      <c r="C56" s="18">
        <v>495</v>
      </c>
      <c r="D56" s="18">
        <v>0</v>
      </c>
      <c r="E56" s="18">
        <v>3715</v>
      </c>
      <c r="F56" s="18">
        <v>7513</v>
      </c>
      <c r="G56" s="15"/>
    </row>
    <row r="57" spans="2:7" ht="15.75" customHeight="1" outlineLevel="1" x14ac:dyDescent="0.3">
      <c r="B57" s="11" t="s">
        <v>73</v>
      </c>
      <c r="C57" s="19">
        <f>C52+SUM(C53:C56)</f>
        <v>1200915</v>
      </c>
      <c r="D57" s="19">
        <f>D52+SUM(D53:D56)</f>
        <v>1195670</v>
      </c>
      <c r="E57" s="19">
        <f t="shared" ref="E57:F57" si="4">E52+SUM(E53:E56)</f>
        <v>1029872</v>
      </c>
      <c r="F57" s="19">
        <f t="shared" si="4"/>
        <v>971912</v>
      </c>
      <c r="G57" s="15"/>
    </row>
    <row r="58" spans="2:7" ht="15.75" customHeight="1" outlineLevel="1" x14ac:dyDescent="0.3">
      <c r="B58" s="11" t="s">
        <v>74</v>
      </c>
      <c r="C58" s="19">
        <v>1026416</v>
      </c>
      <c r="D58" s="19">
        <v>1079085</v>
      </c>
      <c r="E58" s="19">
        <v>1104572</v>
      </c>
      <c r="F58" s="19">
        <v>1099803</v>
      </c>
      <c r="G58" s="15"/>
    </row>
    <row r="59" spans="2:7" ht="15.75" customHeight="1" outlineLevel="1" x14ac:dyDescent="0.3">
      <c r="B59" s="11" t="s">
        <v>75</v>
      </c>
      <c r="C59" s="19">
        <v>2227331</v>
      </c>
      <c r="D59" s="19">
        <v>2274755</v>
      </c>
      <c r="E59" s="19">
        <v>2134444</v>
      </c>
      <c r="F59" s="19">
        <v>2071715</v>
      </c>
      <c r="G59" s="15"/>
    </row>
    <row r="60" spans="2:7" ht="17.25" outlineLevel="1" thickBot="1" x14ac:dyDescent="0.35"/>
    <row r="61" spans="2:7" ht="18" customHeight="1" x14ac:dyDescent="0.3">
      <c r="B61" s="51" t="s">
        <v>76</v>
      </c>
      <c r="C61" s="51"/>
      <c r="D61" s="51"/>
      <c r="E61" s="51"/>
      <c r="F61" s="51"/>
      <c r="G61" s="50"/>
    </row>
    <row r="62" spans="2:7" ht="15.75" customHeight="1" outlineLevel="1" x14ac:dyDescent="0.3">
      <c r="B62" s="11" t="s">
        <v>77</v>
      </c>
      <c r="C62" s="11"/>
      <c r="D62" s="17"/>
      <c r="E62" s="17"/>
      <c r="F62" s="17"/>
      <c r="G62" s="15"/>
    </row>
    <row r="63" spans="2:7" ht="15.75" customHeight="1" outlineLevel="1" x14ac:dyDescent="0.3">
      <c r="B63" s="14" t="s">
        <v>78</v>
      </c>
      <c r="C63" s="18">
        <v>68229</v>
      </c>
      <c r="D63" s="18">
        <v>68943</v>
      </c>
      <c r="E63" s="18">
        <v>61126</v>
      </c>
      <c r="F63" s="18">
        <v>24852</v>
      </c>
      <c r="G63" s="15"/>
    </row>
    <row r="64" spans="2:7" ht="15.75" customHeight="1" outlineLevel="1" x14ac:dyDescent="0.3">
      <c r="B64" s="14" t="s">
        <v>79</v>
      </c>
      <c r="C64" s="18">
        <v>33339</v>
      </c>
      <c r="D64" s="18">
        <v>34368</v>
      </c>
      <c r="E64" s="18">
        <v>35911</v>
      </c>
      <c r="F64" s="18">
        <v>37433</v>
      </c>
      <c r="G64" s="15"/>
    </row>
    <row r="65" spans="2:7" ht="15.75" customHeight="1" outlineLevel="1" x14ac:dyDescent="0.3">
      <c r="B65" s="14" t="s">
        <v>80</v>
      </c>
      <c r="C65" s="18">
        <v>10913</v>
      </c>
      <c r="D65" s="18">
        <v>11042</v>
      </c>
      <c r="E65" s="18">
        <v>10233</v>
      </c>
      <c r="F65" s="18">
        <v>10197</v>
      </c>
      <c r="G65" s="15"/>
    </row>
    <row r="66" spans="2:7" ht="15.75" customHeight="1" outlineLevel="1" x14ac:dyDescent="0.3">
      <c r="B66" s="14" t="s">
        <v>81</v>
      </c>
      <c r="C66" s="18">
        <f>C64+C65</f>
        <v>44252</v>
      </c>
      <c r="D66" s="18">
        <v>45410</v>
      </c>
      <c r="E66" s="18">
        <v>46144</v>
      </c>
      <c r="F66" s="18">
        <v>47630</v>
      </c>
      <c r="G66" s="15"/>
    </row>
    <row r="67" spans="2:7" ht="15.75" customHeight="1" outlineLevel="1" x14ac:dyDescent="0.3">
      <c r="B67" s="14" t="s">
        <v>82</v>
      </c>
      <c r="C67" s="18">
        <v>18485</v>
      </c>
      <c r="D67" s="18">
        <v>15286</v>
      </c>
      <c r="E67" s="18">
        <v>13366</v>
      </c>
      <c r="F67" s="18">
        <v>17198</v>
      </c>
      <c r="G67" s="15"/>
    </row>
    <row r="68" spans="2:7" ht="15.75" customHeight="1" outlineLevel="1" x14ac:dyDescent="0.3">
      <c r="B68" s="14" t="s">
        <v>83</v>
      </c>
      <c r="C68" s="18">
        <v>-136455</v>
      </c>
      <c r="D68" s="18">
        <v>42050</v>
      </c>
      <c r="E68" s="18">
        <v>33953</v>
      </c>
      <c r="F68" s="18">
        <v>25667</v>
      </c>
      <c r="G68" s="15"/>
    </row>
    <row r="69" spans="2:7" ht="15.75" customHeight="1" outlineLevel="1" x14ac:dyDescent="0.3">
      <c r="B69" s="14" t="s">
        <v>84</v>
      </c>
      <c r="C69" s="18">
        <v>-206247</v>
      </c>
      <c r="D69" s="18">
        <v>45071</v>
      </c>
      <c r="E69" s="18">
        <v>127840</v>
      </c>
      <c r="F69" s="18">
        <v>75167</v>
      </c>
      <c r="G69" s="15"/>
    </row>
    <row r="70" spans="2:7" ht="15.75" customHeight="1" outlineLevel="1" x14ac:dyDescent="0.3">
      <c r="B70" s="14" t="s">
        <v>85</v>
      </c>
      <c r="C70" s="18">
        <v>-16656</v>
      </c>
      <c r="D70" s="18">
        <v>-35320</v>
      </c>
      <c r="E70" s="18">
        <v>-18283</v>
      </c>
      <c r="F70" s="18">
        <v>32397</v>
      </c>
      <c r="G70" s="15"/>
    </row>
    <row r="71" spans="2:7" ht="15.75" customHeight="1" outlineLevel="1" x14ac:dyDescent="0.3">
      <c r="B71" s="14" t="s">
        <v>86</v>
      </c>
      <c r="C71" s="18">
        <f>C72-SUM(C63:C65,C67:C70)</f>
        <v>50925</v>
      </c>
      <c r="D71" s="18">
        <v>-7146</v>
      </c>
      <c r="E71" s="18">
        <v>-74921</v>
      </c>
      <c r="F71" s="18">
        <v>-98947</v>
      </c>
      <c r="G71" s="15"/>
    </row>
    <row r="72" spans="2:7" ht="15.75" customHeight="1" outlineLevel="1" x14ac:dyDescent="0.3">
      <c r="B72" s="11" t="s">
        <v>87</v>
      </c>
      <c r="C72" s="19">
        <v>-177467</v>
      </c>
      <c r="D72" s="19">
        <v>174294</v>
      </c>
      <c r="E72" s="19">
        <v>189225</v>
      </c>
      <c r="F72" s="19">
        <v>123964</v>
      </c>
      <c r="G72" s="15"/>
    </row>
    <row r="73" spans="2:7" ht="15.75" customHeight="1" outlineLevel="1" x14ac:dyDescent="0.3">
      <c r="B73" s="11" t="s">
        <v>88</v>
      </c>
      <c r="C73" s="19"/>
      <c r="D73" s="17"/>
      <c r="E73" s="17"/>
      <c r="F73" s="17"/>
      <c r="G73" s="15"/>
    </row>
    <row r="74" spans="2:7" ht="15.75" customHeight="1" outlineLevel="1" x14ac:dyDescent="0.3">
      <c r="B74" s="14" t="s">
        <v>89</v>
      </c>
      <c r="C74" s="18">
        <v>-43357</v>
      </c>
      <c r="D74" s="18">
        <v>-73479</v>
      </c>
      <c r="E74" s="18">
        <v>-31306</v>
      </c>
      <c r="F74" s="18">
        <v>-35613</v>
      </c>
      <c r="G74" s="15"/>
    </row>
    <row r="75" spans="2:7" ht="15.75" customHeight="1" outlineLevel="1" x14ac:dyDescent="0.3">
      <c r="B75" s="14" t="s">
        <v>90</v>
      </c>
      <c r="C75" s="18">
        <v>-3417</v>
      </c>
      <c r="D75" s="18">
        <v>-4260</v>
      </c>
      <c r="E75" s="18">
        <v>-1947</v>
      </c>
      <c r="F75" s="18">
        <v>-2931</v>
      </c>
      <c r="G75" s="15"/>
    </row>
    <row r="76" spans="2:7" ht="15.75" customHeight="1" outlineLevel="1" x14ac:dyDescent="0.3">
      <c r="B76" s="14" t="s">
        <v>91</v>
      </c>
      <c r="C76" s="18">
        <f>C74+C75</f>
        <v>-46774</v>
      </c>
      <c r="D76" s="18">
        <v>-77739</v>
      </c>
      <c r="E76" s="18">
        <v>-33253</v>
      </c>
      <c r="F76" s="18">
        <v>-38544</v>
      </c>
      <c r="G76" s="15"/>
    </row>
    <row r="77" spans="2:7" ht="15.75" customHeight="1" outlineLevel="1" x14ac:dyDescent="0.3">
      <c r="B77" s="14" t="s">
        <v>92</v>
      </c>
      <c r="C77" s="18">
        <v>5600</v>
      </c>
      <c r="D77" s="18">
        <v>601</v>
      </c>
      <c r="E77" s="18">
        <v>486</v>
      </c>
      <c r="F77" s="18">
        <v>5846</v>
      </c>
      <c r="G77" s="15"/>
    </row>
    <row r="78" spans="2:7" ht="15.75" customHeight="1" outlineLevel="1" x14ac:dyDescent="0.3">
      <c r="B78" s="11" t="s">
        <v>93</v>
      </c>
      <c r="C78" s="19">
        <f>C76+C77</f>
        <v>-41174</v>
      </c>
      <c r="D78" s="19">
        <f>D76+D77</f>
        <v>-77138</v>
      </c>
      <c r="E78" s="19">
        <v>-32767</v>
      </c>
      <c r="F78" s="19">
        <v>-32698</v>
      </c>
      <c r="G78" s="15"/>
    </row>
    <row r="79" spans="2:7" ht="15.75" customHeight="1" outlineLevel="1" x14ac:dyDescent="0.3">
      <c r="B79" s="11" t="s">
        <v>94</v>
      </c>
      <c r="C79" s="19"/>
      <c r="D79" s="17"/>
      <c r="E79" s="17"/>
      <c r="F79" s="17"/>
      <c r="G79" s="15"/>
    </row>
    <row r="80" spans="2:7" ht="15.75" customHeight="1" outlineLevel="1" x14ac:dyDescent="0.3">
      <c r="B80" s="14" t="s">
        <v>95</v>
      </c>
      <c r="C80" s="18">
        <v>828000</v>
      </c>
      <c r="D80" s="18">
        <v>749500</v>
      </c>
      <c r="E80" s="18">
        <v>600000</v>
      </c>
      <c r="F80" s="18">
        <v>891094</v>
      </c>
      <c r="G80" s="15"/>
    </row>
    <row r="81" spans="2:7" ht="15.75" customHeight="1" outlineLevel="1" x14ac:dyDescent="0.3">
      <c r="B81" s="14" t="s">
        <v>96</v>
      </c>
      <c r="C81" s="18">
        <v>-633000</v>
      </c>
      <c r="D81" s="18">
        <v>-743602</v>
      </c>
      <c r="E81" s="18">
        <v>-674102</v>
      </c>
      <c r="F81" s="18">
        <v>-936016</v>
      </c>
      <c r="G81" s="15"/>
    </row>
    <row r="82" spans="2:7" ht="15.75" customHeight="1" outlineLevel="1" x14ac:dyDescent="0.3">
      <c r="B82" s="14" t="s">
        <v>97</v>
      </c>
      <c r="C82" s="18">
        <v>-23156</v>
      </c>
      <c r="D82" s="18">
        <v>-23455</v>
      </c>
      <c r="E82" s="18">
        <v>-23913</v>
      </c>
      <c r="F82" s="18">
        <v>-24425</v>
      </c>
      <c r="G82" s="15"/>
    </row>
    <row r="83" spans="2:7" ht="15.75" customHeight="1" outlineLevel="1" x14ac:dyDescent="0.3">
      <c r="B83" s="14" t="s">
        <v>98</v>
      </c>
      <c r="C83" s="18">
        <v>-9391</v>
      </c>
      <c r="D83" s="18">
        <v>0</v>
      </c>
      <c r="E83" s="18">
        <v>-5100</v>
      </c>
      <c r="F83" s="18">
        <v>-26848</v>
      </c>
      <c r="G83" s="15"/>
    </row>
    <row r="84" spans="2:7" ht="15.75" customHeight="1" outlineLevel="1" x14ac:dyDescent="0.3">
      <c r="B84" s="14" t="s">
        <v>99</v>
      </c>
      <c r="C84" s="18">
        <v>-3224</v>
      </c>
      <c r="D84" s="18">
        <v>-6021</v>
      </c>
      <c r="E84" s="18">
        <v>-5991</v>
      </c>
      <c r="F84" s="18">
        <v>-9709</v>
      </c>
      <c r="G84" s="15"/>
    </row>
    <row r="85" spans="2:7" ht="15.75" customHeight="1" outlineLevel="1" x14ac:dyDescent="0.3">
      <c r="B85" s="11" t="s">
        <v>100</v>
      </c>
      <c r="C85" s="19">
        <v>159229</v>
      </c>
      <c r="D85" s="19">
        <v>-23578</v>
      </c>
      <c r="E85" s="19">
        <v>-109106</v>
      </c>
      <c r="F85" s="19">
        <v>-105904</v>
      </c>
      <c r="G85" s="15"/>
    </row>
    <row r="86" spans="2:7" ht="15.75" customHeight="1" outlineLevel="1" x14ac:dyDescent="0.3">
      <c r="B86" s="14" t="s">
        <v>101</v>
      </c>
      <c r="C86" s="18">
        <v>-4907</v>
      </c>
      <c r="D86" s="18">
        <v>2205</v>
      </c>
      <c r="E86" s="18">
        <v>-2538</v>
      </c>
      <c r="F86" s="18">
        <v>9011</v>
      </c>
      <c r="G86" s="15"/>
    </row>
    <row r="87" spans="2:7" ht="15.75" customHeight="1" outlineLevel="1" x14ac:dyDescent="0.3">
      <c r="B87" s="11" t="s">
        <v>102</v>
      </c>
      <c r="C87" s="19">
        <f>C72+C78+C85+C86</f>
        <v>-64319</v>
      </c>
      <c r="D87" s="19">
        <v>75783</v>
      </c>
      <c r="E87" s="19">
        <v>44814</v>
      </c>
      <c r="F87" s="19">
        <v>-5627</v>
      </c>
      <c r="G87" s="15"/>
    </row>
    <row r="88" spans="2:7" ht="15.75" customHeight="1" outlineLevel="1" x14ac:dyDescent="0.3">
      <c r="B88" s="14" t="s">
        <v>103</v>
      </c>
      <c r="C88" s="18">
        <v>271749</v>
      </c>
      <c r="D88" s="18">
        <v>207430</v>
      </c>
      <c r="E88" s="18">
        <v>283213</v>
      </c>
      <c r="F88" s="18">
        <v>328027</v>
      </c>
      <c r="G88" s="15"/>
    </row>
    <row r="89" spans="2:7" ht="15.75" customHeight="1" outlineLevel="1" x14ac:dyDescent="0.3">
      <c r="B89" s="11" t="s">
        <v>104</v>
      </c>
      <c r="C89" s="19">
        <f>C88+C87</f>
        <v>207430</v>
      </c>
      <c r="D89" s="19">
        <v>283213</v>
      </c>
      <c r="E89" s="19">
        <v>328027</v>
      </c>
      <c r="F89" s="19">
        <v>322400</v>
      </c>
      <c r="G89" s="15"/>
    </row>
    <row r="90" spans="2:7" ht="17.25" outlineLevel="1" thickBot="1" x14ac:dyDescent="0.35"/>
    <row r="91" spans="2:7" ht="18" customHeight="1" x14ac:dyDescent="0.3">
      <c r="B91" s="50" t="s">
        <v>188</v>
      </c>
      <c r="C91" s="52" t="str">
        <f>'Financial Statements'!C4</f>
        <v>FY2022</v>
      </c>
      <c r="D91" s="52" t="str">
        <f>'Financial Statements'!D4</f>
        <v>FY2023</v>
      </c>
      <c r="E91" s="52" t="str">
        <f>'Financial Statements'!E4</f>
        <v>FY2024</v>
      </c>
      <c r="F91" s="52" t="str">
        <f>'Financial Statements'!F4</f>
        <v>FY2025</v>
      </c>
      <c r="G91" s="50"/>
    </row>
    <row r="92" spans="2:7" outlineLevel="1" x14ac:dyDescent="0.3">
      <c r="B92" s="14" t="s">
        <v>5</v>
      </c>
      <c r="C92" s="20">
        <f>C34/(C6/365)</f>
        <v>62.211958711596139</v>
      </c>
      <c r="D92" s="20">
        <f>D34/(D6/365)</f>
        <v>57.778741348993442</v>
      </c>
      <c r="E92" s="20">
        <f>E34/(E6/365)</f>
        <v>56.679675690531809</v>
      </c>
      <c r="F92" s="20">
        <f>F34/(F6/365)</f>
        <v>53.684117004649679</v>
      </c>
      <c r="G92" s="15"/>
    </row>
    <row r="93" spans="2:7" outlineLevel="1" x14ac:dyDescent="0.3">
      <c r="B93" s="14" t="s">
        <v>6</v>
      </c>
      <c r="C93" s="20">
        <f>C36/(C7/365)</f>
        <v>100.95731398626276</v>
      </c>
      <c r="D93" s="20">
        <f>D36/(D7/365)</f>
        <v>97.194899268119627</v>
      </c>
      <c r="E93" s="20">
        <f>E36/(E7/365)</f>
        <v>84.692728369238097</v>
      </c>
      <c r="F93" s="20">
        <f>F36/(F7/365)</f>
        <v>73.723447538011015</v>
      </c>
      <c r="G93" s="15"/>
    </row>
    <row r="94" spans="2:7" outlineLevel="1" x14ac:dyDescent="0.3">
      <c r="B94" s="14" t="s">
        <v>7</v>
      </c>
      <c r="C94" s="20">
        <f>C48/(C7/365)</f>
        <v>58.857327896815619</v>
      </c>
      <c r="D94" s="20">
        <f>D48/(D7/365)</f>
        <v>52.233298259359962</v>
      </c>
      <c r="E94" s="20">
        <f>E48/(E7/365)</f>
        <v>54.18490403301481</v>
      </c>
      <c r="F94" s="20">
        <f>F48/(F7/365)</f>
        <v>61.604570698572317</v>
      </c>
      <c r="G94" s="15"/>
    </row>
    <row r="95" spans="2:7" outlineLevel="1" x14ac:dyDescent="0.3">
      <c r="B95" s="14" t="s">
        <v>105</v>
      </c>
      <c r="C95" s="20">
        <f t="shared" ref="C95:D95" si="5">C92+C93-C94</f>
        <v>104.31194480104328</v>
      </c>
      <c r="D95" s="20">
        <f t="shared" si="5"/>
        <v>102.74034235775309</v>
      </c>
      <c r="E95" s="20">
        <f>E92+E93-E94</f>
        <v>87.187500026755089</v>
      </c>
      <c r="F95" s="20">
        <f>F92+F93-F94</f>
        <v>65.802993844088377</v>
      </c>
      <c r="G95" s="15"/>
    </row>
    <row r="96" spans="2:7" outlineLevel="1" x14ac:dyDescent="0.3">
      <c r="B96" s="14" t="s">
        <v>106</v>
      </c>
      <c r="C96" s="21">
        <f>C7/C6</f>
        <v>0.91157112611131574</v>
      </c>
      <c r="D96" s="22">
        <f>D7/D6</f>
        <v>0.90451838972925447</v>
      </c>
      <c r="E96" s="22">
        <f>E7/E6</f>
        <v>0.89833835635262915</v>
      </c>
      <c r="F96" s="22">
        <f>F7/F6</f>
        <v>0.89843812285924451</v>
      </c>
      <c r="G96" s="15"/>
    </row>
    <row r="97" spans="2:7" outlineLevel="1" x14ac:dyDescent="0.3">
      <c r="B97" s="14" t="s">
        <v>107</v>
      </c>
      <c r="C97" s="5">
        <f>C6/52</f>
        <v>55506.365384615383</v>
      </c>
      <c r="D97" s="5">
        <f>D6/52</f>
        <v>54595.692307692305</v>
      </c>
      <c r="E97" s="5">
        <f>E6/52</f>
        <v>51078.942307692305</v>
      </c>
      <c r="F97" s="5">
        <f>F6/52</f>
        <v>51136.692307692305</v>
      </c>
      <c r="G97" s="15"/>
    </row>
    <row r="98" spans="2:7" outlineLevel="1" x14ac:dyDescent="0.3">
      <c r="B98" s="14" t="s">
        <v>108</v>
      </c>
      <c r="C98" s="5">
        <f>C66/52</f>
        <v>851</v>
      </c>
      <c r="D98" s="5">
        <f t="shared" ref="D98:F98" si="6">D66/52</f>
        <v>873.26923076923072</v>
      </c>
      <c r="E98" s="5">
        <f t="shared" si="6"/>
        <v>887.38461538461536</v>
      </c>
      <c r="F98" s="5">
        <f t="shared" si="6"/>
        <v>915.96153846153845</v>
      </c>
      <c r="G98" s="15"/>
    </row>
    <row r="99" spans="2:7" outlineLevel="1" x14ac:dyDescent="0.3">
      <c r="B99" s="14" t="s">
        <v>109</v>
      </c>
      <c r="C99" s="5">
        <f>-C76/52</f>
        <v>899.5</v>
      </c>
      <c r="D99" s="5">
        <f>-D76/52</f>
        <v>1494.9807692307693</v>
      </c>
      <c r="E99" s="5">
        <f>-E76/52</f>
        <v>639.48076923076928</v>
      </c>
      <c r="F99" s="5">
        <f>-F76/52</f>
        <v>741.23076923076928</v>
      </c>
      <c r="G99" s="15"/>
    </row>
    <row r="100" spans="2:7" outlineLevel="1" x14ac:dyDescent="0.3">
      <c r="B100" s="14" t="s">
        <v>110</v>
      </c>
      <c r="C100" s="5">
        <f>-C16/52</f>
        <v>247.96153846153845</v>
      </c>
      <c r="D100" s="5">
        <f>-D16/52</f>
        <v>612.98076923076928</v>
      </c>
      <c r="E100" s="5">
        <f>-E16/52</f>
        <v>517.73076923076928</v>
      </c>
      <c r="F100" s="5">
        <f>-F16/52</f>
        <v>387.65384615384613</v>
      </c>
      <c r="G100" s="15"/>
    </row>
    <row r="101" spans="2:7" outlineLevel="1" x14ac:dyDescent="0.3">
      <c r="B101" s="14" t="s">
        <v>111</v>
      </c>
      <c r="C101" s="23">
        <f>IF(C19=0,0,C20/C19)</f>
        <v>0.19104360816674967</v>
      </c>
      <c r="D101" s="23">
        <f>IF(D19=0,0,D20/D19)</f>
        <v>0.15115735040630388</v>
      </c>
      <c r="E101" s="23">
        <f>IF(E19=0,0,E20/E19)</f>
        <v>0.27139877227486742</v>
      </c>
      <c r="F101" s="23">
        <f>IF(F19=0,0,F20/F19)</f>
        <v>0.59612571911463585</v>
      </c>
      <c r="G101" s="15"/>
    </row>
    <row r="102" spans="2:7" x14ac:dyDescent="0.3">
      <c r="B102" s="17" t="s">
        <v>192</v>
      </c>
      <c r="C102" s="21">
        <f>C10/C6</f>
        <v>5.2043580587257665E-2</v>
      </c>
      <c r="D102" s="21">
        <f t="shared" ref="D102:F102" si="7">D10/D6</f>
        <v>5.1788039067607476E-2</v>
      </c>
      <c r="E102" s="21">
        <f t="shared" si="7"/>
        <v>5.6270365817616394E-2</v>
      </c>
      <c r="F102" s="21">
        <f t="shared" si="7"/>
        <v>6.0041938875743293E-2</v>
      </c>
    </row>
  </sheetData>
  <mergeCells count="5">
    <mergeCell ref="B2:G2"/>
    <mergeCell ref="B3:F3"/>
    <mergeCell ref="B5:F5"/>
    <mergeCell ref="B29:F29"/>
    <mergeCell ref="B61:F6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340D-86FC-47D2-8552-C6504CC0BFDF}">
  <dimension ref="A1:H59"/>
  <sheetViews>
    <sheetView workbookViewId="0">
      <selection activeCell="H6" sqref="H6:H7"/>
    </sheetView>
  </sheetViews>
  <sheetFormatPr defaultRowHeight="16.5" x14ac:dyDescent="0.3"/>
  <cols>
    <col min="1" max="1" width="46.42578125" style="10" customWidth="1"/>
    <col min="2" max="2" width="13.28515625" style="10" customWidth="1"/>
    <col min="3" max="3" width="11.5703125" style="10" customWidth="1"/>
    <col min="4" max="4" width="10.42578125" style="10" customWidth="1"/>
    <col min="5" max="6" width="9.140625" style="10"/>
    <col min="7" max="7" width="14.85546875" style="10" bestFit="1" customWidth="1"/>
    <col min="8" max="8" width="91.85546875" style="10" customWidth="1"/>
    <col min="9" max="9" width="9.140625" style="10"/>
    <col min="10" max="10" width="9.42578125" style="10" bestFit="1" customWidth="1"/>
    <col min="11" max="16384" width="9.140625" style="10"/>
  </cols>
  <sheetData>
    <row r="1" spans="1:8" ht="31.5" customHeight="1" x14ac:dyDescent="0.3">
      <c r="A1" s="71" t="s">
        <v>176</v>
      </c>
      <c r="B1" s="71"/>
      <c r="C1" s="71"/>
      <c r="D1" s="71"/>
      <c r="E1" s="71"/>
      <c r="F1" s="71"/>
      <c r="G1" s="71"/>
      <c r="H1" s="71"/>
    </row>
    <row r="2" spans="1:8" ht="24" customHeight="1" thickBot="1" x14ac:dyDescent="0.35">
      <c r="A2" s="75" t="s">
        <v>190</v>
      </c>
      <c r="B2" s="75"/>
      <c r="C2" s="75"/>
      <c r="D2" s="75"/>
      <c r="E2" s="75"/>
      <c r="F2" s="75"/>
      <c r="G2" s="75"/>
      <c r="H2" s="75"/>
    </row>
    <row r="3" spans="1:8" ht="27" customHeight="1" thickTop="1" thickBot="1" x14ac:dyDescent="0.35">
      <c r="A3" s="55"/>
      <c r="B3" s="55" t="s">
        <v>170</v>
      </c>
      <c r="C3" s="55" t="s">
        <v>0</v>
      </c>
      <c r="D3" s="55" t="s">
        <v>1</v>
      </c>
      <c r="E3" s="55" t="s">
        <v>2</v>
      </c>
      <c r="F3" s="55" t="s">
        <v>189</v>
      </c>
      <c r="G3" s="55" t="s">
        <v>13</v>
      </c>
      <c r="H3" s="55" t="s">
        <v>14</v>
      </c>
    </row>
    <row r="4" spans="1:8" x14ac:dyDescent="0.3">
      <c r="A4" s="36" t="s">
        <v>5</v>
      </c>
      <c r="B4" s="64">
        <f>'Financial Statements'!C92</f>
        <v>62.211958711596139</v>
      </c>
      <c r="C4" s="64">
        <f>'Financial Statements'!D92</f>
        <v>57.778741348993442</v>
      </c>
      <c r="D4" s="64">
        <f>'Financial Statements'!E92</f>
        <v>56.679675690531809</v>
      </c>
      <c r="E4" s="64">
        <f>'Financial Statements'!F92</f>
        <v>53.684117004649679</v>
      </c>
      <c r="F4" s="37">
        <f>IFERROR(AVERAGE(B4:E4),0)</f>
        <v>57.588623188942762</v>
      </c>
      <c r="G4" s="67" t="s">
        <v>15</v>
      </c>
      <c r="H4" s="38" t="s">
        <v>16</v>
      </c>
    </row>
    <row r="5" spans="1:8" ht="20.25" customHeight="1" x14ac:dyDescent="0.3">
      <c r="A5" s="39" t="s">
        <v>189</v>
      </c>
      <c r="B5" s="37">
        <f>+$F$4</f>
        <v>57.588623188942762</v>
      </c>
      <c r="C5" s="37">
        <f t="shared" ref="C5:E5" si="0">+$F$4</f>
        <v>57.588623188942762</v>
      </c>
      <c r="D5" s="37">
        <f t="shared" si="0"/>
        <v>57.588623188942762</v>
      </c>
      <c r="E5" s="37">
        <f t="shared" si="0"/>
        <v>57.588623188942762</v>
      </c>
      <c r="F5" s="37"/>
      <c r="G5" s="67"/>
      <c r="H5" s="38"/>
    </row>
    <row r="6" spans="1:8" x14ac:dyDescent="0.3">
      <c r="A6" s="36" t="s">
        <v>6</v>
      </c>
      <c r="B6" s="64">
        <f>'Financial Statements'!C93</f>
        <v>100.95731398626276</v>
      </c>
      <c r="C6" s="64">
        <f>'Financial Statements'!D93</f>
        <v>97.194899268119627</v>
      </c>
      <c r="D6" s="64">
        <f>'Financial Statements'!E93</f>
        <v>84.692728369238097</v>
      </c>
      <c r="E6" s="64">
        <f>'Financial Statements'!F93</f>
        <v>73.723447538011015</v>
      </c>
      <c r="F6" s="37">
        <f>IFERROR(AVERAGE(B6:E6),0)</f>
        <v>89.142097290407861</v>
      </c>
      <c r="G6" s="67" t="s">
        <v>15</v>
      </c>
      <c r="H6" s="38" t="s">
        <v>194</v>
      </c>
    </row>
    <row r="7" spans="1:8" ht="22.5" customHeight="1" x14ac:dyDescent="0.3">
      <c r="A7" s="39" t="s">
        <v>189</v>
      </c>
      <c r="B7" s="37">
        <f>$F$6</f>
        <v>89.142097290407861</v>
      </c>
      <c r="C7" s="37">
        <f t="shared" ref="C7:E7" si="1">$F$6</f>
        <v>89.142097290407861</v>
      </c>
      <c r="D7" s="37">
        <f t="shared" si="1"/>
        <v>89.142097290407861</v>
      </c>
      <c r="E7" s="37">
        <f t="shared" si="1"/>
        <v>89.142097290407861</v>
      </c>
      <c r="F7" s="37"/>
      <c r="G7" s="67"/>
      <c r="H7" s="38"/>
    </row>
    <row r="8" spans="1:8" ht="16.5" customHeight="1" x14ac:dyDescent="0.3">
      <c r="A8" s="36" t="s">
        <v>7</v>
      </c>
      <c r="B8" s="64">
        <f>'Financial Statements'!C94</f>
        <v>58.857327896815619</v>
      </c>
      <c r="C8" s="64">
        <f>'Financial Statements'!D94</f>
        <v>52.233298259359962</v>
      </c>
      <c r="D8" s="64">
        <f>'Financial Statements'!E94</f>
        <v>54.18490403301481</v>
      </c>
      <c r="E8" s="64">
        <f>'Financial Statements'!F94</f>
        <v>61.604570698572317</v>
      </c>
      <c r="F8" s="37">
        <f>IFERROR(AVERAGE(B8:E8),0)</f>
        <v>56.720025221940674</v>
      </c>
      <c r="G8" s="67" t="s">
        <v>17</v>
      </c>
      <c r="H8" s="38" t="s">
        <v>18</v>
      </c>
    </row>
    <row r="9" spans="1:8" ht="20.25" customHeight="1" x14ac:dyDescent="0.3">
      <c r="A9" s="39" t="s">
        <v>189</v>
      </c>
      <c r="B9" s="37">
        <f>$F$8</f>
        <v>56.720025221940674</v>
      </c>
      <c r="C9" s="37">
        <f t="shared" ref="C9:E9" si="2">$F$8</f>
        <v>56.720025221940674</v>
      </c>
      <c r="D9" s="37">
        <f t="shared" si="2"/>
        <v>56.720025221940674</v>
      </c>
      <c r="E9" s="37">
        <f t="shared" si="2"/>
        <v>56.720025221940674</v>
      </c>
      <c r="F9" s="37"/>
      <c r="G9" s="67"/>
      <c r="H9" s="38"/>
    </row>
    <row r="10" spans="1:8" ht="16.5" customHeight="1" x14ac:dyDescent="0.3">
      <c r="A10" s="36" t="s">
        <v>171</v>
      </c>
      <c r="B10" s="64">
        <f>B4+B6-B8</f>
        <v>104.31194480104328</v>
      </c>
      <c r="C10" s="64">
        <f t="shared" ref="C10:E10" si="3">C4+C6-C8</f>
        <v>102.74034235775309</v>
      </c>
      <c r="D10" s="64">
        <f t="shared" si="3"/>
        <v>87.187500026755089</v>
      </c>
      <c r="E10" s="64">
        <f t="shared" si="3"/>
        <v>65.802993844088377</v>
      </c>
      <c r="F10" s="37">
        <f>IFERROR(AVERAGE(B10:E10),0)</f>
        <v>90.010695257409964</v>
      </c>
      <c r="G10" s="67" t="s">
        <v>15</v>
      </c>
      <c r="H10" s="38" t="s">
        <v>19</v>
      </c>
    </row>
    <row r="11" spans="1:8" ht="21" customHeight="1" x14ac:dyDescent="0.3">
      <c r="A11" s="39" t="s">
        <v>189</v>
      </c>
      <c r="B11" s="37">
        <f>$F$10</f>
        <v>90.010695257409964</v>
      </c>
      <c r="C11" s="37">
        <f t="shared" ref="C11:E11" si="4">$F$10</f>
        <v>90.010695257409964</v>
      </c>
      <c r="D11" s="37">
        <f t="shared" si="4"/>
        <v>90.010695257409964</v>
      </c>
      <c r="E11" s="37">
        <f t="shared" si="4"/>
        <v>90.010695257409964</v>
      </c>
      <c r="F11" s="37"/>
      <c r="G11" s="67"/>
      <c r="H11" s="38"/>
    </row>
    <row r="12" spans="1:8" ht="16.5" customHeight="1" x14ac:dyDescent="0.3">
      <c r="A12" s="36" t="s">
        <v>3</v>
      </c>
      <c r="B12" s="66">
        <f>'Financial Statements'!C8/'Financial Statements'!C6</f>
        <v>8.8428873888684284E-2</v>
      </c>
      <c r="C12" s="66">
        <f>'Financial Statements'!D8/'Financial Statements'!D6</f>
        <v>9.5481610270745504E-2</v>
      </c>
      <c r="D12" s="66">
        <f>'Financial Statements'!E8/'Financial Statements'!E6</f>
        <v>0.10166164364737088</v>
      </c>
      <c r="E12" s="66">
        <f>'Financial Statements'!F8/'Financial Statements'!F6</f>
        <v>0.10156187714075547</v>
      </c>
      <c r="F12" s="8">
        <f>IFERROR(AVERAGE(B12:E12),0)</f>
        <v>9.678350123688903E-2</v>
      </c>
      <c r="G12" s="67" t="s">
        <v>20</v>
      </c>
      <c r="H12" s="38" t="s">
        <v>210</v>
      </c>
    </row>
    <row r="13" spans="1:8" ht="18.75" customHeight="1" x14ac:dyDescent="0.3">
      <c r="A13" s="39" t="s">
        <v>189</v>
      </c>
      <c r="B13" s="8">
        <f>$F$12</f>
        <v>9.678350123688903E-2</v>
      </c>
      <c r="C13" s="8">
        <f t="shared" ref="C13:E13" si="5">$F$12</f>
        <v>9.678350123688903E-2</v>
      </c>
      <c r="D13" s="8">
        <f t="shared" si="5"/>
        <v>9.678350123688903E-2</v>
      </c>
      <c r="E13" s="8">
        <f t="shared" si="5"/>
        <v>9.678350123688903E-2</v>
      </c>
      <c r="F13" s="8"/>
      <c r="G13" s="67"/>
      <c r="H13" s="38"/>
    </row>
    <row r="14" spans="1:8" x14ac:dyDescent="0.3">
      <c r="A14" s="36" t="s">
        <v>4</v>
      </c>
      <c r="B14" s="65">
        <f>'Financial Statements'!C72</f>
        <v>-177467</v>
      </c>
      <c r="C14" s="65">
        <f>'Financial Statements'!D72</f>
        <v>174294</v>
      </c>
      <c r="D14" s="65">
        <f>'Financial Statements'!E72</f>
        <v>189225</v>
      </c>
      <c r="E14" s="65">
        <f>'Financial Statements'!F72</f>
        <v>123964</v>
      </c>
      <c r="F14" s="40">
        <f>IFERROR(AVERAGE(B14:E14),0)</f>
        <v>77504</v>
      </c>
      <c r="G14" s="68" t="s">
        <v>199</v>
      </c>
      <c r="H14" s="38" t="s">
        <v>195</v>
      </c>
    </row>
    <row r="15" spans="1:8" ht="21.75" customHeight="1" x14ac:dyDescent="0.3">
      <c r="A15" s="39" t="s">
        <v>189</v>
      </c>
      <c r="B15" s="9">
        <f>$F$14</f>
        <v>77504</v>
      </c>
      <c r="C15" s="9">
        <f t="shared" ref="C15:E15" si="6">$F$14</f>
        <v>77504</v>
      </c>
      <c r="D15" s="9">
        <f t="shared" si="6"/>
        <v>77504</v>
      </c>
      <c r="E15" s="9">
        <f t="shared" si="6"/>
        <v>77504</v>
      </c>
      <c r="F15" s="40"/>
      <c r="G15" s="68"/>
      <c r="H15" s="38"/>
    </row>
    <row r="16" spans="1:8" x14ac:dyDescent="0.3">
      <c r="A16" s="36" t="s">
        <v>21</v>
      </c>
      <c r="B16" s="65">
        <f>-'Financial Statements'!C76</f>
        <v>46774</v>
      </c>
      <c r="C16" s="65">
        <f>-'Financial Statements'!D76</f>
        <v>77739</v>
      </c>
      <c r="D16" s="65">
        <f>-'Financial Statements'!E76</f>
        <v>33253</v>
      </c>
      <c r="E16" s="65">
        <f>-'Financial Statements'!F76</f>
        <v>38544</v>
      </c>
      <c r="F16" s="40">
        <f>IFERROR(AVERAGE(B16:E16),0)</f>
        <v>49077.5</v>
      </c>
      <c r="G16" s="69" t="s">
        <v>198</v>
      </c>
      <c r="H16" s="41" t="s">
        <v>196</v>
      </c>
    </row>
    <row r="17" spans="1:8" ht="31.5" customHeight="1" x14ac:dyDescent="0.3">
      <c r="A17" s="39" t="s">
        <v>189</v>
      </c>
      <c r="B17" s="9">
        <f>$F$16</f>
        <v>49077.5</v>
      </c>
      <c r="C17" s="9">
        <f t="shared" ref="C17:E17" si="7">$F$16</f>
        <v>49077.5</v>
      </c>
      <c r="D17" s="9">
        <f t="shared" si="7"/>
        <v>49077.5</v>
      </c>
      <c r="E17" s="9">
        <f t="shared" si="7"/>
        <v>49077.5</v>
      </c>
      <c r="G17" s="69"/>
      <c r="H17" s="41"/>
    </row>
    <row r="18" spans="1:8" ht="20.25" customHeight="1" thickBot="1" x14ac:dyDescent="0.35">
      <c r="A18" s="76"/>
      <c r="B18" s="76"/>
      <c r="C18" s="76"/>
      <c r="D18" s="76"/>
      <c r="E18" s="76"/>
      <c r="F18" s="76"/>
      <c r="G18" s="76"/>
      <c r="H18" s="76"/>
    </row>
    <row r="19" spans="1:8" ht="25.5" customHeight="1" thickTop="1" thickBot="1" x14ac:dyDescent="0.35">
      <c r="A19" s="56" t="s">
        <v>191</v>
      </c>
      <c r="B19" s="56"/>
      <c r="C19" s="56"/>
      <c r="D19" s="56"/>
      <c r="E19" s="56"/>
      <c r="F19" s="56"/>
      <c r="G19" s="56"/>
      <c r="H19" s="56"/>
    </row>
    <row r="20" spans="1:8" ht="24.75" customHeight="1" x14ac:dyDescent="0.3">
      <c r="A20" s="57"/>
      <c r="B20" s="57"/>
      <c r="C20" s="57"/>
      <c r="D20" s="57"/>
      <c r="E20" s="57"/>
      <c r="F20" s="57"/>
      <c r="G20" s="57"/>
      <c r="H20" s="57"/>
    </row>
    <row r="21" spans="1:8" x14ac:dyDescent="0.3">
      <c r="A21" s="57"/>
      <c r="B21" s="57"/>
      <c r="C21" s="57"/>
      <c r="D21" s="57"/>
      <c r="E21" s="57"/>
      <c r="F21" s="57"/>
      <c r="G21" s="57"/>
      <c r="H21" s="57"/>
    </row>
    <row r="22" spans="1:8" ht="26.25" customHeight="1" x14ac:dyDescent="0.3">
      <c r="A22" s="57"/>
      <c r="B22" s="57"/>
      <c r="C22" s="57"/>
      <c r="D22" s="57"/>
      <c r="E22" s="57"/>
      <c r="F22" s="57"/>
      <c r="G22" s="57"/>
      <c r="H22" s="57"/>
    </row>
    <row r="23" spans="1:8" ht="18" customHeight="1" x14ac:dyDescent="0.3">
      <c r="A23" s="57"/>
      <c r="B23" s="57"/>
      <c r="C23" s="57"/>
      <c r="D23" s="57"/>
      <c r="E23" s="57"/>
      <c r="F23" s="57"/>
      <c r="G23" s="57"/>
      <c r="H23" s="57"/>
    </row>
    <row r="24" spans="1:8" ht="23.25" customHeight="1" x14ac:dyDescent="0.3">
      <c r="A24" s="57"/>
      <c r="B24" s="57"/>
      <c r="C24" s="57"/>
      <c r="D24" s="57"/>
      <c r="E24" s="57"/>
      <c r="F24" s="57"/>
      <c r="G24" s="57"/>
      <c r="H24" s="57"/>
    </row>
    <row r="25" spans="1:8" ht="19.5" customHeight="1" x14ac:dyDescent="0.3">
      <c r="A25" s="57"/>
      <c r="B25" s="57"/>
      <c r="C25" s="57"/>
      <c r="D25" s="57"/>
      <c r="E25" s="57"/>
      <c r="F25" s="57"/>
      <c r="G25" s="57"/>
      <c r="H25" s="57"/>
    </row>
    <row r="26" spans="1:8" ht="37.5" customHeight="1" x14ac:dyDescent="0.3">
      <c r="A26" s="57"/>
      <c r="B26" s="57"/>
      <c r="C26" s="57"/>
      <c r="D26" s="57"/>
      <c r="E26" s="57"/>
      <c r="F26" s="57"/>
      <c r="G26" s="57"/>
      <c r="H26" s="57"/>
    </row>
    <row r="27" spans="1:8" x14ac:dyDescent="0.3">
      <c r="A27" s="57"/>
      <c r="B27" s="57"/>
      <c r="C27" s="57"/>
      <c r="D27" s="57"/>
      <c r="E27" s="57"/>
      <c r="F27" s="57"/>
      <c r="G27" s="57"/>
      <c r="H27" s="57"/>
    </row>
    <row r="28" spans="1:8" x14ac:dyDescent="0.3">
      <c r="A28" s="57"/>
      <c r="B28" s="57"/>
      <c r="C28" s="57"/>
      <c r="D28" s="57"/>
      <c r="E28" s="57"/>
      <c r="F28" s="57"/>
      <c r="G28" s="57"/>
      <c r="H28" s="57"/>
    </row>
    <row r="29" spans="1:8" x14ac:dyDescent="0.3">
      <c r="A29" s="57"/>
      <c r="B29" s="57"/>
      <c r="C29" s="57"/>
      <c r="D29" s="57"/>
      <c r="E29" s="57"/>
      <c r="F29" s="57"/>
      <c r="G29" s="57"/>
      <c r="H29" s="57"/>
    </row>
    <row r="30" spans="1:8" x14ac:dyDescent="0.3">
      <c r="A30" s="57"/>
      <c r="B30" s="57"/>
      <c r="C30" s="57"/>
      <c r="D30" s="57"/>
      <c r="E30" s="57"/>
      <c r="F30" s="57"/>
      <c r="G30" s="57"/>
      <c r="H30" s="57"/>
    </row>
    <row r="31" spans="1:8" x14ac:dyDescent="0.3">
      <c r="A31" s="57"/>
      <c r="B31" s="57"/>
      <c r="C31" s="57"/>
      <c r="D31" s="57"/>
      <c r="E31" s="57"/>
      <c r="F31" s="57"/>
      <c r="G31" s="57"/>
      <c r="H31" s="57"/>
    </row>
    <row r="32" spans="1:8" x14ac:dyDescent="0.3">
      <c r="A32" s="57"/>
      <c r="B32" s="57"/>
      <c r="C32" s="57"/>
      <c r="D32" s="57"/>
      <c r="E32" s="57"/>
      <c r="F32" s="57"/>
      <c r="G32" s="57"/>
      <c r="H32" s="57"/>
    </row>
    <row r="33" spans="1:8" x14ac:dyDescent="0.3">
      <c r="A33" s="57"/>
      <c r="B33" s="57"/>
      <c r="C33" s="57"/>
      <c r="D33" s="57"/>
      <c r="E33" s="57"/>
      <c r="F33" s="57"/>
      <c r="G33" s="57"/>
      <c r="H33" s="57"/>
    </row>
    <row r="34" spans="1:8" x14ac:dyDescent="0.3">
      <c r="A34" s="57"/>
      <c r="B34" s="57"/>
      <c r="C34" s="57"/>
      <c r="D34" s="57"/>
      <c r="E34" s="57"/>
      <c r="F34" s="57"/>
      <c r="G34" s="57"/>
      <c r="H34" s="57"/>
    </row>
    <row r="35" spans="1:8" x14ac:dyDescent="0.3">
      <c r="A35" s="57"/>
      <c r="B35" s="57"/>
      <c r="C35" s="57"/>
      <c r="D35" s="57"/>
      <c r="E35" s="57"/>
      <c r="F35" s="57"/>
      <c r="G35" s="57"/>
      <c r="H35" s="57"/>
    </row>
    <row r="36" spans="1:8" x14ac:dyDescent="0.3">
      <c r="A36" s="57"/>
      <c r="B36" s="57"/>
      <c r="C36" s="57"/>
      <c r="D36" s="57"/>
      <c r="E36" s="57"/>
      <c r="F36" s="57"/>
      <c r="G36" s="57"/>
      <c r="H36" s="57"/>
    </row>
    <row r="37" spans="1:8" x14ac:dyDescent="0.3">
      <c r="A37" s="57"/>
      <c r="B37" s="57"/>
      <c r="C37" s="57"/>
      <c r="D37" s="57"/>
      <c r="E37" s="57"/>
      <c r="F37" s="57"/>
      <c r="G37" s="57"/>
      <c r="H37" s="57"/>
    </row>
    <row r="38" spans="1:8" x14ac:dyDescent="0.3">
      <c r="A38" s="57"/>
      <c r="B38" s="57"/>
      <c r="C38" s="57"/>
      <c r="D38" s="57"/>
      <c r="E38" s="57"/>
      <c r="F38" s="57"/>
      <c r="G38" s="57"/>
      <c r="H38" s="57"/>
    </row>
    <row r="39" spans="1:8" x14ac:dyDescent="0.3">
      <c r="A39" s="57"/>
      <c r="B39" s="57"/>
      <c r="C39" s="57"/>
      <c r="D39" s="57"/>
      <c r="E39" s="57"/>
      <c r="F39" s="57"/>
      <c r="G39" s="57"/>
      <c r="H39" s="57"/>
    </row>
    <row r="40" spans="1:8" x14ac:dyDescent="0.3">
      <c r="A40" s="57"/>
      <c r="B40" s="57"/>
      <c r="C40" s="57"/>
      <c r="D40" s="57"/>
      <c r="E40" s="57"/>
      <c r="F40" s="57"/>
      <c r="G40" s="57"/>
      <c r="H40" s="57"/>
    </row>
    <row r="41" spans="1:8" x14ac:dyDescent="0.3">
      <c r="A41" s="57"/>
      <c r="B41" s="57"/>
      <c r="C41" s="57"/>
      <c r="D41" s="57"/>
      <c r="E41" s="57"/>
      <c r="F41" s="57"/>
      <c r="G41" s="57"/>
      <c r="H41" s="57"/>
    </row>
    <row r="42" spans="1:8" x14ac:dyDescent="0.3">
      <c r="A42" s="57"/>
      <c r="B42" s="57"/>
      <c r="C42" s="57"/>
      <c r="D42" s="57"/>
      <c r="E42" s="57"/>
      <c r="F42" s="57"/>
      <c r="G42" s="57"/>
      <c r="H42" s="57"/>
    </row>
    <row r="43" spans="1:8" x14ac:dyDescent="0.3">
      <c r="A43" s="57"/>
      <c r="B43" s="57"/>
      <c r="C43" s="57"/>
      <c r="D43" s="57"/>
      <c r="E43" s="57"/>
      <c r="F43" s="57"/>
      <c r="G43" s="57"/>
      <c r="H43" s="57"/>
    </row>
    <row r="44" spans="1:8" x14ac:dyDescent="0.3">
      <c r="A44" s="57"/>
      <c r="B44" s="57"/>
      <c r="C44" s="57"/>
      <c r="D44" s="57"/>
      <c r="E44" s="57"/>
      <c r="F44" s="57"/>
      <c r="G44" s="57"/>
      <c r="H44" s="57"/>
    </row>
    <row r="45" spans="1:8" x14ac:dyDescent="0.3">
      <c r="A45" s="57"/>
      <c r="B45" s="57"/>
      <c r="C45" s="57"/>
      <c r="D45" s="57"/>
      <c r="E45" s="57"/>
      <c r="F45" s="57"/>
      <c r="G45" s="57"/>
      <c r="H45" s="57"/>
    </row>
    <row r="46" spans="1:8" x14ac:dyDescent="0.3">
      <c r="A46" s="57"/>
      <c r="B46" s="57"/>
      <c r="C46" s="57"/>
      <c r="D46" s="57"/>
      <c r="E46" s="57"/>
      <c r="F46" s="57"/>
      <c r="G46" s="57"/>
      <c r="H46" s="57"/>
    </row>
    <row r="47" spans="1:8" x14ac:dyDescent="0.3">
      <c r="A47" s="57"/>
      <c r="B47" s="57"/>
      <c r="C47" s="57"/>
      <c r="D47" s="57"/>
      <c r="E47" s="57"/>
      <c r="F47" s="57"/>
      <c r="G47" s="57"/>
      <c r="H47" s="57"/>
    </row>
    <row r="48" spans="1:8" x14ac:dyDescent="0.3">
      <c r="A48" s="57"/>
      <c r="B48" s="57"/>
      <c r="C48" s="57"/>
      <c r="D48" s="57"/>
      <c r="E48" s="57"/>
      <c r="F48" s="57"/>
      <c r="G48" s="57"/>
      <c r="H48" s="57"/>
    </row>
    <row r="49" spans="1:8" x14ac:dyDescent="0.3">
      <c r="A49" s="57"/>
      <c r="B49" s="57"/>
      <c r="C49" s="57"/>
      <c r="D49" s="57"/>
      <c r="E49" s="57"/>
      <c r="F49" s="57"/>
      <c r="G49" s="57"/>
      <c r="H49" s="57"/>
    </row>
    <row r="50" spans="1:8" x14ac:dyDescent="0.3">
      <c r="A50" s="57"/>
      <c r="B50" s="57"/>
      <c r="C50" s="57"/>
      <c r="D50" s="57"/>
      <c r="E50" s="57"/>
      <c r="F50" s="57"/>
      <c r="G50" s="57"/>
      <c r="H50" s="57"/>
    </row>
    <row r="51" spans="1:8" x14ac:dyDescent="0.3">
      <c r="A51" s="57"/>
      <c r="B51" s="57"/>
      <c r="C51" s="57"/>
      <c r="D51" s="57"/>
      <c r="E51" s="57"/>
      <c r="F51" s="57"/>
      <c r="G51" s="57"/>
      <c r="H51" s="57"/>
    </row>
    <row r="52" spans="1:8" ht="16.5" customHeight="1" x14ac:dyDescent="0.3">
      <c r="A52" s="57"/>
      <c r="B52" s="57"/>
      <c r="C52" s="57"/>
      <c r="D52" s="57"/>
      <c r="E52" s="57"/>
      <c r="F52" s="57"/>
      <c r="G52" s="57"/>
      <c r="H52" s="57"/>
    </row>
    <row r="53" spans="1:8" x14ac:dyDescent="0.3">
      <c r="A53" s="57"/>
      <c r="B53" s="57"/>
      <c r="C53" s="57"/>
      <c r="D53" s="57"/>
      <c r="E53" s="57"/>
      <c r="F53" s="57"/>
      <c r="G53" s="57"/>
      <c r="H53" s="57"/>
    </row>
    <row r="54" spans="1:8" ht="16.5" customHeight="1" x14ac:dyDescent="0.3">
      <c r="A54" s="57"/>
      <c r="B54" s="57"/>
      <c r="C54" s="57"/>
      <c r="D54" s="57"/>
      <c r="E54" s="57"/>
      <c r="F54" s="57"/>
      <c r="G54" s="57"/>
      <c r="H54" s="57"/>
    </row>
    <row r="55" spans="1:8" x14ac:dyDescent="0.3">
      <c r="A55" s="57"/>
      <c r="B55" s="57"/>
      <c r="C55" s="57"/>
      <c r="D55" s="57"/>
      <c r="E55" s="57"/>
      <c r="F55" s="57"/>
      <c r="G55" s="57"/>
      <c r="H55" s="57"/>
    </row>
    <row r="56" spans="1:8" ht="16.5" customHeight="1" x14ac:dyDescent="0.3">
      <c r="A56" s="57"/>
      <c r="B56" s="57"/>
      <c r="C56" s="57"/>
      <c r="D56" s="57"/>
      <c r="E56" s="57"/>
      <c r="F56" s="57"/>
      <c r="G56" s="57"/>
      <c r="H56" s="57"/>
    </row>
    <row r="57" spans="1:8" x14ac:dyDescent="0.3">
      <c r="A57" s="57"/>
      <c r="B57" s="57"/>
      <c r="C57" s="57"/>
      <c r="D57" s="57"/>
      <c r="E57" s="57"/>
      <c r="F57" s="57"/>
      <c r="G57" s="57"/>
      <c r="H57" s="57"/>
    </row>
    <row r="58" spans="1:8" ht="16.5" customHeight="1" x14ac:dyDescent="0.3">
      <c r="A58" s="57"/>
      <c r="B58" s="57"/>
      <c r="C58" s="57"/>
      <c r="D58" s="57"/>
      <c r="E58" s="57"/>
      <c r="F58" s="57"/>
      <c r="G58" s="57"/>
      <c r="H58" s="57"/>
    </row>
    <row r="59" spans="1:8" x14ac:dyDescent="0.3">
      <c r="A59" s="57"/>
      <c r="B59" s="57"/>
      <c r="C59" s="57"/>
      <c r="D59" s="57"/>
      <c r="E59" s="57"/>
      <c r="F59" s="57"/>
      <c r="G59" s="57"/>
      <c r="H59" s="57"/>
    </row>
  </sheetData>
  <mergeCells count="18">
    <mergeCell ref="A1:H1"/>
    <mergeCell ref="A2:H2"/>
    <mergeCell ref="A19:H19"/>
    <mergeCell ref="G16:G17"/>
    <mergeCell ref="G14:G15"/>
    <mergeCell ref="G12:G13"/>
    <mergeCell ref="G10:G11"/>
    <mergeCell ref="A18:H18"/>
    <mergeCell ref="G4:G5"/>
    <mergeCell ref="H10:H11"/>
    <mergeCell ref="H8:H9"/>
    <mergeCell ref="H6:H7"/>
    <mergeCell ref="H4:H5"/>
    <mergeCell ref="H16:H17"/>
    <mergeCell ref="H14:H15"/>
    <mergeCell ref="H12:H13"/>
    <mergeCell ref="G8:G9"/>
    <mergeCell ref="G6:G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1"/>
  <sheetViews>
    <sheetView zoomScaleNormal="100" workbookViewId="0">
      <pane xSplit="3" topLeftCell="D1" activePane="topRight" state="frozen"/>
      <selection pane="topRight" activeCell="F28" sqref="F28"/>
    </sheetView>
  </sheetViews>
  <sheetFormatPr defaultColWidth="8.7109375" defaultRowHeight="16.5" x14ac:dyDescent="0.3"/>
  <cols>
    <col min="1" max="1" width="3" style="10" customWidth="1"/>
    <col min="2" max="2" width="34" style="10" customWidth="1"/>
    <col min="3" max="3" width="14" style="10" customWidth="1"/>
    <col min="4" max="16" width="13" style="10" customWidth="1"/>
    <col min="17" max="17" width="14" style="10" customWidth="1"/>
    <col min="18" max="18" width="22" style="10" customWidth="1"/>
    <col min="19" max="16384" width="8.7109375" style="10"/>
  </cols>
  <sheetData>
    <row r="1" spans="2:18" ht="7.5" customHeight="1" x14ac:dyDescent="0.3"/>
    <row r="2" spans="2:18" ht="36" customHeight="1" x14ac:dyDescent="0.3">
      <c r="B2" s="77" t="s">
        <v>176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8" ht="18" customHeight="1" x14ac:dyDescent="0.3">
      <c r="B3" s="78" t="s">
        <v>211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</row>
    <row r="4" spans="2:18" ht="30" customHeight="1" thickBot="1" x14ac:dyDescent="0.35">
      <c r="B4" s="58"/>
      <c r="C4" s="58" t="s">
        <v>112</v>
      </c>
      <c r="D4" s="59" t="s">
        <v>113</v>
      </c>
      <c r="E4" s="59" t="s">
        <v>114</v>
      </c>
      <c r="F4" s="59" t="s">
        <v>115</v>
      </c>
      <c r="G4" s="59" t="s">
        <v>116</v>
      </c>
      <c r="H4" s="59" t="s">
        <v>117</v>
      </c>
      <c r="I4" s="59" t="s">
        <v>118</v>
      </c>
      <c r="J4" s="59" t="s">
        <v>119</v>
      </c>
      <c r="K4" s="59" t="s">
        <v>120</v>
      </c>
      <c r="L4" s="59" t="s">
        <v>121</v>
      </c>
      <c r="M4" s="59" t="s">
        <v>122</v>
      </c>
      <c r="N4" s="59" t="s">
        <v>123</v>
      </c>
      <c r="O4" s="59" t="s">
        <v>124</v>
      </c>
      <c r="P4" s="59" t="s">
        <v>125</v>
      </c>
      <c r="Q4" s="59" t="s">
        <v>126</v>
      </c>
    </row>
    <row r="5" spans="2:18" ht="15" customHeight="1" thickTop="1" thickBot="1" x14ac:dyDescent="0.35">
      <c r="B5" s="60" t="s">
        <v>127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</row>
    <row r="6" spans="2:18" ht="15.75" customHeight="1" x14ac:dyDescent="0.3">
      <c r="B6" s="14" t="s">
        <v>128</v>
      </c>
      <c r="C6" s="1" t="s">
        <v>129</v>
      </c>
      <c r="D6" s="1">
        <f>'Financial Statements'!$F$97</f>
        <v>51136.692307692305</v>
      </c>
      <c r="E6" s="1">
        <f>'Financial Statements'!$F$97</f>
        <v>51136.692307692305</v>
      </c>
      <c r="F6" s="1">
        <f>'Financial Statements'!$F$97</f>
        <v>51136.692307692305</v>
      </c>
      <c r="G6" s="1">
        <f>'Financial Statements'!$F$97</f>
        <v>51136.692307692305</v>
      </c>
      <c r="H6" s="1">
        <f>'Financial Statements'!$F$97</f>
        <v>51136.692307692305</v>
      </c>
      <c r="I6" s="1">
        <f>'Financial Statements'!$F$97</f>
        <v>51136.692307692305</v>
      </c>
      <c r="J6" s="1">
        <f>'Financial Statements'!$F$97</f>
        <v>51136.692307692305</v>
      </c>
      <c r="K6" s="1">
        <f>'Financial Statements'!$F$97</f>
        <v>51136.692307692305</v>
      </c>
      <c r="L6" s="1">
        <f>'Financial Statements'!$F$97</f>
        <v>51136.692307692305</v>
      </c>
      <c r="M6" s="1">
        <f>'Financial Statements'!$F$97</f>
        <v>51136.692307692305</v>
      </c>
      <c r="N6" s="1">
        <f>'Financial Statements'!$F$97</f>
        <v>51136.692307692305</v>
      </c>
      <c r="O6" s="1">
        <f>'Financial Statements'!$F$97</f>
        <v>51136.692307692305</v>
      </c>
      <c r="P6" s="1">
        <f>'Financial Statements'!$F$97</f>
        <v>51136.692307692305</v>
      </c>
      <c r="Q6" s="1"/>
    </row>
    <row r="7" spans="2:18" ht="15.75" customHeight="1" x14ac:dyDescent="0.3">
      <c r="B7" s="14" t="s">
        <v>130</v>
      </c>
      <c r="C7" s="1" t="s">
        <v>129</v>
      </c>
      <c r="D7" s="1">
        <f>'Financial Statements'!$F$92</f>
        <v>53.684117004649679</v>
      </c>
      <c r="E7" s="1">
        <f>'Financial Statements'!$F$92</f>
        <v>53.684117004649679</v>
      </c>
      <c r="F7" s="1">
        <f>'Financial Statements'!$F$92</f>
        <v>53.684117004649679</v>
      </c>
      <c r="G7" s="1">
        <f>'Financial Statements'!$F$92</f>
        <v>53.684117004649679</v>
      </c>
      <c r="H7" s="1">
        <f>'Financial Statements'!$F$92</f>
        <v>53.684117004649679</v>
      </c>
      <c r="I7" s="1">
        <f>'Financial Statements'!$F$92</f>
        <v>53.684117004649679</v>
      </c>
      <c r="J7" s="1">
        <f>'Financial Statements'!$F$92</f>
        <v>53.684117004649679</v>
      </c>
      <c r="K7" s="1">
        <f>'Financial Statements'!$F$92</f>
        <v>53.684117004649679</v>
      </c>
      <c r="L7" s="1">
        <f>'Financial Statements'!$F$92</f>
        <v>53.684117004649679</v>
      </c>
      <c r="M7" s="1">
        <f>'Financial Statements'!$F$92</f>
        <v>53.684117004649679</v>
      </c>
      <c r="N7" s="1">
        <f>'Financial Statements'!$F$92</f>
        <v>53.684117004649679</v>
      </c>
      <c r="O7" s="1">
        <f>'Financial Statements'!$F$92</f>
        <v>53.684117004649679</v>
      </c>
      <c r="P7" s="1">
        <f>'Financial Statements'!$F$92</f>
        <v>53.684117004649679</v>
      </c>
      <c r="Q7" s="1"/>
    </row>
    <row r="8" spans="2:18" ht="15.75" customHeight="1" x14ac:dyDescent="0.3">
      <c r="B8" s="14" t="s">
        <v>131</v>
      </c>
      <c r="C8" s="1" t="s">
        <v>129</v>
      </c>
      <c r="D8" s="1">
        <f>'Financial Statements'!$F$93</f>
        <v>73.723447538011015</v>
      </c>
      <c r="E8" s="1">
        <f>'Financial Statements'!$F$93</f>
        <v>73.723447538011015</v>
      </c>
      <c r="F8" s="1">
        <f>'Financial Statements'!$F$93</f>
        <v>73.723447538011015</v>
      </c>
      <c r="G8" s="1">
        <f>'Financial Statements'!$F$93</f>
        <v>73.723447538011015</v>
      </c>
      <c r="H8" s="1">
        <f>'Financial Statements'!$F$93</f>
        <v>73.723447538011015</v>
      </c>
      <c r="I8" s="1">
        <f>'Financial Statements'!$F$93</f>
        <v>73.723447538011015</v>
      </c>
      <c r="J8" s="1">
        <f>'Financial Statements'!$F$93</f>
        <v>73.723447538011015</v>
      </c>
      <c r="K8" s="1">
        <f>'Financial Statements'!$F$93</f>
        <v>73.723447538011015</v>
      </c>
      <c r="L8" s="1">
        <f>'Financial Statements'!$F$93</f>
        <v>73.723447538011015</v>
      </c>
      <c r="M8" s="1">
        <f>'Financial Statements'!$F$93</f>
        <v>73.723447538011015</v>
      </c>
      <c r="N8" s="1">
        <f>'Financial Statements'!$F$93</f>
        <v>73.723447538011015</v>
      </c>
      <c r="O8" s="1">
        <f>'Financial Statements'!$F$93</f>
        <v>73.723447538011015</v>
      </c>
      <c r="P8" s="1">
        <f>'Financial Statements'!$F$93</f>
        <v>73.723447538011015</v>
      </c>
      <c r="Q8" s="1"/>
    </row>
    <row r="9" spans="2:18" ht="15.75" customHeight="1" x14ac:dyDescent="0.3">
      <c r="B9" s="14" t="s">
        <v>132</v>
      </c>
      <c r="C9" s="1" t="s">
        <v>129</v>
      </c>
      <c r="D9" s="1">
        <f>'Financial Statements'!$F$94</f>
        <v>61.604570698572317</v>
      </c>
      <c r="E9" s="1">
        <f>'Financial Statements'!$F$94</f>
        <v>61.604570698572317</v>
      </c>
      <c r="F9" s="1">
        <f>'Financial Statements'!$F$94</f>
        <v>61.604570698572317</v>
      </c>
      <c r="G9" s="1">
        <f>'Financial Statements'!$F$94</f>
        <v>61.604570698572317</v>
      </c>
      <c r="H9" s="1">
        <f>'Financial Statements'!$F$94</f>
        <v>61.604570698572317</v>
      </c>
      <c r="I9" s="1">
        <f>'Financial Statements'!$F$94</f>
        <v>61.604570698572317</v>
      </c>
      <c r="J9" s="1">
        <f>'Financial Statements'!$F$94</f>
        <v>61.604570698572317</v>
      </c>
      <c r="K9" s="1">
        <f>'Financial Statements'!$F$94</f>
        <v>61.604570698572317</v>
      </c>
      <c r="L9" s="1">
        <f>'Financial Statements'!$F$94</f>
        <v>61.604570698572317</v>
      </c>
      <c r="M9" s="1">
        <f>'Financial Statements'!$F$94</f>
        <v>61.604570698572317</v>
      </c>
      <c r="N9" s="1">
        <f>'Financial Statements'!$F$94</f>
        <v>61.604570698572317</v>
      </c>
      <c r="O9" s="1">
        <f>'Financial Statements'!$F$94</f>
        <v>61.604570698572317</v>
      </c>
      <c r="P9" s="1">
        <f>'Financial Statements'!$F$94</f>
        <v>61.604570698572317</v>
      </c>
      <c r="Q9" s="1"/>
    </row>
    <row r="10" spans="2:18" ht="15.75" customHeight="1" thickBot="1" x14ac:dyDescent="0.35">
      <c r="B10" s="14" t="s">
        <v>109</v>
      </c>
      <c r="C10" s="1" t="s">
        <v>129</v>
      </c>
      <c r="D10" s="1">
        <f>'Financial Statements'!$F$99</f>
        <v>741.23076923076928</v>
      </c>
      <c r="E10" s="1">
        <f>'Financial Statements'!$F$99</f>
        <v>741.23076923076928</v>
      </c>
      <c r="F10" s="1">
        <f>'Financial Statements'!$F$99</f>
        <v>741.23076923076928</v>
      </c>
      <c r="G10" s="1">
        <f>'Financial Statements'!$F$99</f>
        <v>741.23076923076928</v>
      </c>
      <c r="H10" s="1">
        <f>'Financial Statements'!$F$99</f>
        <v>741.23076923076928</v>
      </c>
      <c r="I10" s="1">
        <f>'Financial Statements'!$F$99</f>
        <v>741.23076923076928</v>
      </c>
      <c r="J10" s="1">
        <f>'Financial Statements'!$F$99</f>
        <v>741.23076923076928</v>
      </c>
      <c r="K10" s="1">
        <f>'Financial Statements'!$F$99</f>
        <v>741.23076923076928</v>
      </c>
      <c r="L10" s="1">
        <f>'Financial Statements'!$F$99</f>
        <v>741.23076923076928</v>
      </c>
      <c r="M10" s="1">
        <f>'Financial Statements'!$F$99</f>
        <v>741.23076923076928</v>
      </c>
      <c r="N10" s="1">
        <f>'Financial Statements'!$F$99</f>
        <v>741.23076923076928</v>
      </c>
      <c r="O10" s="1">
        <f>'Financial Statements'!$F$99</f>
        <v>741.23076923076928</v>
      </c>
      <c r="P10" s="1">
        <f>'Financial Statements'!$F$99</f>
        <v>741.23076923076928</v>
      </c>
      <c r="Q10" s="1"/>
    </row>
    <row r="11" spans="2:18" ht="18" customHeight="1" thickTop="1" thickBot="1" x14ac:dyDescent="0.35">
      <c r="B11" s="60" t="s">
        <v>133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</row>
    <row r="12" spans="2:18" ht="15.75" customHeight="1" x14ac:dyDescent="0.3">
      <c r="B12" s="14" t="s">
        <v>134</v>
      </c>
      <c r="C12" s="1" t="s">
        <v>129</v>
      </c>
      <c r="D12" s="5">
        <f>IF(D7=0,0,C13/D7*7)</f>
        <v>50996.591780821924</v>
      </c>
      <c r="E12" s="5">
        <f t="shared" ref="D12:P12" si="0">IF(E7=0,0,D13/E7*7)</f>
        <v>51014.859822522369</v>
      </c>
      <c r="F12" s="5">
        <f t="shared" si="0"/>
        <v>51030.7458507142</v>
      </c>
      <c r="G12" s="5">
        <f t="shared" si="0"/>
        <v>51044.560461817564</v>
      </c>
      <c r="H12" s="5">
        <f t="shared" si="0"/>
        <v>51056.573752844917</v>
      </c>
      <c r="I12" s="5">
        <f t="shared" si="0"/>
        <v>51067.020602215336</v>
      </c>
      <c r="J12" s="5">
        <f t="shared" si="0"/>
        <v>51076.10526199091</v>
      </c>
      <c r="K12" s="5">
        <f t="shared" si="0"/>
        <v>51084.005351320367</v>
      </c>
      <c r="L12" s="5">
        <f t="shared" si="0"/>
        <v>51090.875329168215</v>
      </c>
      <c r="M12" s="5">
        <f t="shared" si="0"/>
        <v>51096.849514226356</v>
      </c>
      <c r="N12" s="5">
        <f t="shared" si="0"/>
        <v>51102.044711052215</v>
      </c>
      <c r="O12" s="5">
        <f t="shared" si="0"/>
        <v>51106.562493778525</v>
      </c>
      <c r="P12" s="5">
        <f t="shared" si="0"/>
        <v>51110.491192044683</v>
      </c>
      <c r="Q12" s="4">
        <f>SUM(D12:P12)</f>
        <v>663877.28612451768</v>
      </c>
      <c r="R12" s="17"/>
    </row>
    <row r="13" spans="2:18" ht="15.75" customHeight="1" x14ac:dyDescent="0.3">
      <c r="B13" s="14" t="s">
        <v>135</v>
      </c>
      <c r="C13" s="1">
        <f>'Financial Statements'!F34</f>
        <v>391101</v>
      </c>
      <c r="D13" s="5">
        <f t="shared" ref="D13:P13" si="1">C13+D6-D12</f>
        <v>391241.1005268704</v>
      </c>
      <c r="E13" s="5">
        <f t="shared" si="1"/>
        <v>391362.93301204033</v>
      </c>
      <c r="F13" s="5">
        <f t="shared" si="1"/>
        <v>391468.87946901843</v>
      </c>
      <c r="G13" s="5">
        <f t="shared" si="1"/>
        <v>391561.0113148932</v>
      </c>
      <c r="H13" s="5">
        <f t="shared" si="1"/>
        <v>391641.12986974057</v>
      </c>
      <c r="I13" s="5">
        <f t="shared" si="1"/>
        <v>391710.80157521757</v>
      </c>
      <c r="J13" s="5">
        <f t="shared" si="1"/>
        <v>391771.38862091897</v>
      </c>
      <c r="K13" s="5">
        <f t="shared" si="1"/>
        <v>391824.0755772909</v>
      </c>
      <c r="L13" s="5">
        <f t="shared" si="1"/>
        <v>391869.89255581499</v>
      </c>
      <c r="M13" s="5">
        <f t="shared" si="1"/>
        <v>391909.73534928093</v>
      </c>
      <c r="N13" s="5">
        <f t="shared" si="1"/>
        <v>391944.38294592104</v>
      </c>
      <c r="O13" s="5">
        <f t="shared" si="1"/>
        <v>391974.51275983482</v>
      </c>
      <c r="P13" s="5">
        <f t="shared" si="1"/>
        <v>392000.71387548244</v>
      </c>
      <c r="Q13" s="42">
        <f>P13</f>
        <v>392000.71387548244</v>
      </c>
      <c r="R13" s="17"/>
    </row>
    <row r="14" spans="2:18" ht="15.75" customHeight="1" x14ac:dyDescent="0.3">
      <c r="C14" s="1"/>
    </row>
    <row r="15" spans="2:18" ht="18" customHeight="1" thickBot="1" x14ac:dyDescent="0.35">
      <c r="B15" s="2" t="s">
        <v>136</v>
      </c>
      <c r="C15" s="1" t="s">
        <v>129</v>
      </c>
      <c r="D15" s="3">
        <f t="shared" ref="D15:P15" si="2">D12</f>
        <v>50996.591780821924</v>
      </c>
      <c r="E15" s="3">
        <f t="shared" si="2"/>
        <v>51014.859822522369</v>
      </c>
      <c r="F15" s="3">
        <f t="shared" si="2"/>
        <v>51030.7458507142</v>
      </c>
      <c r="G15" s="3">
        <f t="shared" si="2"/>
        <v>51044.560461817564</v>
      </c>
      <c r="H15" s="3">
        <f t="shared" si="2"/>
        <v>51056.573752844917</v>
      </c>
      <c r="I15" s="3">
        <f t="shared" si="2"/>
        <v>51067.020602215336</v>
      </c>
      <c r="J15" s="3">
        <f t="shared" si="2"/>
        <v>51076.10526199091</v>
      </c>
      <c r="K15" s="3">
        <f t="shared" si="2"/>
        <v>51084.005351320367</v>
      </c>
      <c r="L15" s="3">
        <f t="shared" si="2"/>
        <v>51090.875329168215</v>
      </c>
      <c r="M15" s="3">
        <f t="shared" si="2"/>
        <v>51096.849514226356</v>
      </c>
      <c r="N15" s="3">
        <f t="shared" si="2"/>
        <v>51102.044711052215</v>
      </c>
      <c r="O15" s="3">
        <f t="shared" si="2"/>
        <v>51106.562493778525</v>
      </c>
      <c r="P15" s="3">
        <f t="shared" si="2"/>
        <v>51110.491192044683</v>
      </c>
      <c r="Q15" s="3">
        <f>SUM(D15:P15)</f>
        <v>663877.28612451768</v>
      </c>
    </row>
    <row r="16" spans="2:18" ht="18" customHeight="1" thickTop="1" thickBot="1" x14ac:dyDescent="0.35">
      <c r="B16" s="60" t="s">
        <v>137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</row>
    <row r="17" spans="2:18" ht="15.75" customHeight="1" x14ac:dyDescent="0.3">
      <c r="B17" s="14" t="s">
        <v>138</v>
      </c>
      <c r="C17" s="1">
        <f>'Financial Statements'!F36</f>
        <v>482544</v>
      </c>
      <c r="D17" s="5">
        <f>(D6*'Financial Statements'!$F$96)/7*'Base Case'!D8</f>
        <v>483869.67032967031</v>
      </c>
      <c r="E17" s="5">
        <f>(E6*'Financial Statements'!$F$96)/7*'Base Case'!E8</f>
        <v>483869.67032967031</v>
      </c>
      <c r="F17" s="5">
        <f>(F6*'Financial Statements'!$F$96)/7*'Base Case'!F8</f>
        <v>483869.67032967031</v>
      </c>
      <c r="G17" s="5">
        <f>(G6*'Financial Statements'!$F$96)/7*'Base Case'!G8</f>
        <v>483869.67032967031</v>
      </c>
      <c r="H17" s="5">
        <f>(H6*'Financial Statements'!$F$96)/7*'Base Case'!H8</f>
        <v>483869.67032967031</v>
      </c>
      <c r="I17" s="5">
        <f>(I6*'Financial Statements'!$F$96)/7*'Base Case'!I8</f>
        <v>483869.67032967031</v>
      </c>
      <c r="J17" s="5">
        <f>(J6*'Financial Statements'!$F$96)/7*'Base Case'!J8</f>
        <v>483869.67032967031</v>
      </c>
      <c r="K17" s="5">
        <f>(K6*'Financial Statements'!$F$96)/7*'Base Case'!K8</f>
        <v>483869.67032967031</v>
      </c>
      <c r="L17" s="5">
        <f>(L6*'Financial Statements'!$F$96)/7*'Base Case'!L8</f>
        <v>483869.67032967031</v>
      </c>
      <c r="M17" s="5">
        <f>(M6*'Financial Statements'!$F$96)/7*'Base Case'!M8</f>
        <v>483869.67032967031</v>
      </c>
      <c r="N17" s="5">
        <f>(N6*'Financial Statements'!$F$96)/7*'Base Case'!N8</f>
        <v>483869.67032967031</v>
      </c>
      <c r="O17" s="5">
        <f>(O6*'Financial Statements'!$F$96)/7*'Base Case'!O8</f>
        <v>483869.67032967031</v>
      </c>
      <c r="P17" s="5">
        <f>(P6*'Financial Statements'!$F$96)/7*'Base Case'!P8</f>
        <v>483869.67032967031</v>
      </c>
      <c r="Q17" s="5">
        <f>P17</f>
        <v>483869.67032967031</v>
      </c>
      <c r="R17" s="17"/>
    </row>
    <row r="18" spans="2:18" ht="15.75" customHeight="1" x14ac:dyDescent="0.3">
      <c r="B18" s="14" t="s">
        <v>139</v>
      </c>
      <c r="C18" s="1" t="s">
        <v>129</v>
      </c>
      <c r="D18" s="5">
        <f>(D6*'Financial Statements'!$F$96)+D17-C17</f>
        <v>47268.824175824178</v>
      </c>
      <c r="E18" s="5">
        <f>(E6*'Financial Statements'!$F$96)+E17-D17</f>
        <v>45943.153846153873</v>
      </c>
      <c r="F18" s="5">
        <f>(F6*'Financial Statements'!$F$96)+F17-E17</f>
        <v>45943.153846153873</v>
      </c>
      <c r="G18" s="5">
        <f>(G6*'Financial Statements'!$F$96)+G17-F17</f>
        <v>45943.153846153873</v>
      </c>
      <c r="H18" s="5">
        <f>(H6*'Financial Statements'!$F$96)+H17-G17</f>
        <v>45943.153846153873</v>
      </c>
      <c r="I18" s="5">
        <f>(I6*'Financial Statements'!$F$96)+I17-H17</f>
        <v>45943.153846153873</v>
      </c>
      <c r="J18" s="5">
        <f>(J6*'Financial Statements'!$F$96)+J17-I17</f>
        <v>45943.153846153873</v>
      </c>
      <c r="K18" s="5">
        <f>(K6*'Financial Statements'!$F$96)+K17-J17</f>
        <v>45943.153846153873</v>
      </c>
      <c r="L18" s="5">
        <f>(L6*'Financial Statements'!$F$96)+L17-K17</f>
        <v>45943.153846153873</v>
      </c>
      <c r="M18" s="5">
        <f>(M6*'Financial Statements'!$F$96)+M17-L17</f>
        <v>45943.153846153873</v>
      </c>
      <c r="N18" s="5">
        <f>(N6*'Financial Statements'!$F$96)+N17-M17</f>
        <v>45943.153846153873</v>
      </c>
      <c r="O18" s="5">
        <f>(O6*'Financial Statements'!$F$96)+O17-N17</f>
        <v>45943.153846153873</v>
      </c>
      <c r="P18" s="5">
        <f>(P6*'Financial Statements'!$F$96)+P17-O17</f>
        <v>45943.153846153873</v>
      </c>
      <c r="Q18" s="5">
        <f>SUM(D18:P18)</f>
        <v>598586.67032967065</v>
      </c>
      <c r="R18" s="17"/>
    </row>
    <row r="19" spans="2:18" ht="15.75" customHeight="1" x14ac:dyDescent="0.3">
      <c r="B19" s="14" t="s">
        <v>140</v>
      </c>
      <c r="C19" s="1">
        <f>'Financial Statements'!F48</f>
        <v>403222</v>
      </c>
      <c r="D19" s="5">
        <f t="shared" ref="D19:P19" si="3">C19+D18-D20</f>
        <v>404673.54198404338</v>
      </c>
      <c r="E19" s="5">
        <f t="shared" si="3"/>
        <v>404634.47792385687</v>
      </c>
      <c r="F19" s="5">
        <f t="shared" si="3"/>
        <v>404599.85263206379</v>
      </c>
      <c r="G19" s="5">
        <f t="shared" si="3"/>
        <v>404569.16174058878</v>
      </c>
      <c r="H19" s="5">
        <f t="shared" si="3"/>
        <v>404541.95819165814</v>
      </c>
      <c r="I19" s="5">
        <f t="shared" si="3"/>
        <v>404517.84572574869</v>
      </c>
      <c r="J19" s="5">
        <f t="shared" si="3"/>
        <v>404496.47310948762</v>
      </c>
      <c r="K19" s="5">
        <f t="shared" si="3"/>
        <v>404477.52901942405</v>
      </c>
      <c r="L19" s="5">
        <f t="shared" si="3"/>
        <v>404460.73750714713</v>
      </c>
      <c r="M19" s="5">
        <f t="shared" si="3"/>
        <v>404445.85397969355</v>
      </c>
      <c r="N19" s="5">
        <f t="shared" si="3"/>
        <v>404432.66163669259</v>
      </c>
      <c r="O19" s="5">
        <f t="shared" si="3"/>
        <v>404420.96831235144</v>
      </c>
      <c r="P19" s="5">
        <f t="shared" si="3"/>
        <v>404410.60367627902</v>
      </c>
      <c r="Q19" s="5">
        <f>P19</f>
        <v>404410.60367627902</v>
      </c>
      <c r="R19" s="17"/>
    </row>
    <row r="20" spans="2:18" ht="15.75" customHeight="1" x14ac:dyDescent="0.3">
      <c r="B20" s="14" t="s">
        <v>141</v>
      </c>
      <c r="C20" s="1" t="s">
        <v>129</v>
      </c>
      <c r="D20" s="5">
        <f t="shared" ref="D20:P20" si="4">C19/D9*7</f>
        <v>45817.282191780818</v>
      </c>
      <c r="E20" s="5">
        <f t="shared" si="4"/>
        <v>45982.217906340375</v>
      </c>
      <c r="F20" s="5">
        <f t="shared" si="4"/>
        <v>45977.779137946978</v>
      </c>
      <c r="G20" s="5">
        <f t="shared" si="4"/>
        <v>45973.844737628904</v>
      </c>
      <c r="H20" s="5">
        <f t="shared" si="4"/>
        <v>45970.357395084524</v>
      </c>
      <c r="I20" s="5">
        <f t="shared" si="4"/>
        <v>45967.26631206333</v>
      </c>
      <c r="J20" s="5">
        <f t="shared" si="4"/>
        <v>45964.526462414964</v>
      </c>
      <c r="K20" s="5">
        <f t="shared" si="4"/>
        <v>45962.097936217455</v>
      </c>
      <c r="L20" s="5">
        <f t="shared" si="4"/>
        <v>45959.945358430763</v>
      </c>
      <c r="M20" s="5">
        <f t="shared" si="4"/>
        <v>45958.037373607469</v>
      </c>
      <c r="N20" s="5">
        <f t="shared" si="4"/>
        <v>45956.346189154858</v>
      </c>
      <c r="O20" s="5">
        <f t="shared" si="4"/>
        <v>45954.847170495043</v>
      </c>
      <c r="P20" s="5">
        <f t="shared" si="4"/>
        <v>45953.518482226311</v>
      </c>
      <c r="Q20" s="5">
        <f t="shared" ref="Q20:Q25" si="5">SUM(D20:P20)</f>
        <v>597398.0666533917</v>
      </c>
      <c r="R20" s="17"/>
    </row>
    <row r="21" spans="2:18" ht="15.75" customHeight="1" x14ac:dyDescent="0.3">
      <c r="B21" s="14" t="s">
        <v>142</v>
      </c>
      <c r="C21" s="1" t="s">
        <v>129</v>
      </c>
      <c r="D21" s="5">
        <f>D6*'Financial Statements'!$F$102</f>
        <v>3070.3461538461538</v>
      </c>
      <c r="E21" s="5">
        <f>E6*'Financial Statements'!$F$102</f>
        <v>3070.3461538461538</v>
      </c>
      <c r="F21" s="5">
        <f>F6*'Financial Statements'!$F$102</f>
        <v>3070.3461538461538</v>
      </c>
      <c r="G21" s="5">
        <f>G6*'Financial Statements'!$F$102</f>
        <v>3070.3461538461538</v>
      </c>
      <c r="H21" s="5">
        <f>H6*'Financial Statements'!$F$102</f>
        <v>3070.3461538461538</v>
      </c>
      <c r="I21" s="5">
        <f>I6*'Financial Statements'!$F$102</f>
        <v>3070.3461538461538</v>
      </c>
      <c r="J21" s="5">
        <f>J6*'Financial Statements'!$F$102</f>
        <v>3070.3461538461538</v>
      </c>
      <c r="K21" s="5">
        <f>K6*'Financial Statements'!$F$102</f>
        <v>3070.3461538461538</v>
      </c>
      <c r="L21" s="5">
        <f>L6*'Financial Statements'!$F$102</f>
        <v>3070.3461538461538</v>
      </c>
      <c r="M21" s="5">
        <f>M6*'Financial Statements'!$F$102</f>
        <v>3070.3461538461538</v>
      </c>
      <c r="N21" s="5">
        <f>N6*'Financial Statements'!$F$102</f>
        <v>3070.3461538461538</v>
      </c>
      <c r="O21" s="5">
        <f>O6*'Financial Statements'!$F$102</f>
        <v>3070.3461538461538</v>
      </c>
      <c r="P21" s="5">
        <f>P6*'Financial Statements'!$F$102</f>
        <v>3070.3461538461538</v>
      </c>
      <c r="Q21" s="5">
        <f t="shared" si="5"/>
        <v>39914.5</v>
      </c>
      <c r="R21" s="17"/>
    </row>
    <row r="22" spans="2:18" ht="15.75" customHeight="1" x14ac:dyDescent="0.3">
      <c r="B22" s="14" t="s">
        <v>33</v>
      </c>
      <c r="C22" s="1" t="s">
        <v>129</v>
      </c>
      <c r="D22" s="1">
        <f>'Financial Statements'!$F$100</f>
        <v>387.65384615384613</v>
      </c>
      <c r="E22" s="1">
        <f>'Financial Statements'!$F$100</f>
        <v>387.65384615384613</v>
      </c>
      <c r="F22" s="1">
        <f>'Financial Statements'!$F$100</f>
        <v>387.65384615384613</v>
      </c>
      <c r="G22" s="1">
        <f>'Financial Statements'!$F$100</f>
        <v>387.65384615384613</v>
      </c>
      <c r="H22" s="1">
        <f>'Financial Statements'!$F$100</f>
        <v>387.65384615384613</v>
      </c>
      <c r="I22" s="1">
        <f>'Financial Statements'!$F$100</f>
        <v>387.65384615384613</v>
      </c>
      <c r="J22" s="1">
        <f>'Financial Statements'!$F$100</f>
        <v>387.65384615384613</v>
      </c>
      <c r="K22" s="1">
        <f>'Financial Statements'!$F$100</f>
        <v>387.65384615384613</v>
      </c>
      <c r="L22" s="1">
        <f>'Financial Statements'!$F$100</f>
        <v>387.65384615384613</v>
      </c>
      <c r="M22" s="1">
        <f>'Financial Statements'!$F$100</f>
        <v>387.65384615384613</v>
      </c>
      <c r="N22" s="1">
        <f>'Financial Statements'!$F$100</f>
        <v>387.65384615384613</v>
      </c>
      <c r="O22" s="1">
        <f>'Financial Statements'!$F$100</f>
        <v>387.65384615384613</v>
      </c>
      <c r="P22" s="1">
        <f>'Financial Statements'!$F$100</f>
        <v>387.65384615384613</v>
      </c>
      <c r="Q22" s="1">
        <f t="shared" si="5"/>
        <v>5039.4999999999991</v>
      </c>
      <c r="R22" s="17"/>
    </row>
    <row r="23" spans="2:18" ht="15.75" customHeight="1" x14ac:dyDescent="0.3">
      <c r="B23" s="14" t="s">
        <v>143</v>
      </c>
      <c r="C23" s="1" t="s">
        <v>129</v>
      </c>
      <c r="D23" s="1">
        <v>0</v>
      </c>
      <c r="E23" s="1">
        <v>0</v>
      </c>
      <c r="F23" s="1">
        <v>0</v>
      </c>
      <c r="G23" s="1">
        <f>'Financial Statements'!$F$20/52*3</f>
        <v>2116.2692307692305</v>
      </c>
      <c r="H23" s="1">
        <v>0</v>
      </c>
      <c r="I23" s="1">
        <v>0</v>
      </c>
      <c r="J23" s="1">
        <f>'Financial Statements'!$F$20/52*3</f>
        <v>2116.2692307692305</v>
      </c>
      <c r="K23" s="1">
        <v>0</v>
      </c>
      <c r="L23" s="1">
        <v>0</v>
      </c>
      <c r="M23" s="1">
        <f>'Financial Statements'!$F$20/52*3</f>
        <v>2116.2692307692305</v>
      </c>
      <c r="N23" s="1">
        <v>0</v>
      </c>
      <c r="O23" s="1">
        <v>0</v>
      </c>
      <c r="P23" s="1">
        <f>'Financial Statements'!$F$20/52*3</f>
        <v>2116.2692307692305</v>
      </c>
      <c r="Q23" s="1">
        <f t="shared" si="5"/>
        <v>8465.076923076922</v>
      </c>
      <c r="R23" s="17"/>
    </row>
    <row r="24" spans="2:18" ht="15.75" customHeight="1" x14ac:dyDescent="0.3">
      <c r="B24" s="14" t="s">
        <v>144</v>
      </c>
      <c r="C24" s="1" t="s">
        <v>129</v>
      </c>
      <c r="D24" s="1">
        <f>D10</f>
        <v>741.23076923076928</v>
      </c>
      <c r="E24" s="1">
        <f t="shared" ref="E24:P24" si="6">E10</f>
        <v>741.23076923076928</v>
      </c>
      <c r="F24" s="1">
        <f t="shared" si="6"/>
        <v>741.23076923076928</v>
      </c>
      <c r="G24" s="1">
        <f t="shared" si="6"/>
        <v>741.23076923076928</v>
      </c>
      <c r="H24" s="1">
        <f t="shared" si="6"/>
        <v>741.23076923076928</v>
      </c>
      <c r="I24" s="1">
        <f t="shared" si="6"/>
        <v>741.23076923076928</v>
      </c>
      <c r="J24" s="1">
        <f t="shared" si="6"/>
        <v>741.23076923076928</v>
      </c>
      <c r="K24" s="1">
        <f t="shared" si="6"/>
        <v>741.23076923076928</v>
      </c>
      <c r="L24" s="1">
        <f t="shared" si="6"/>
        <v>741.23076923076928</v>
      </c>
      <c r="M24" s="1">
        <f t="shared" si="6"/>
        <v>741.23076923076928</v>
      </c>
      <c r="N24" s="1">
        <f t="shared" si="6"/>
        <v>741.23076923076928</v>
      </c>
      <c r="O24" s="1">
        <f t="shared" si="6"/>
        <v>741.23076923076928</v>
      </c>
      <c r="P24" s="1">
        <f t="shared" si="6"/>
        <v>741.23076923076928</v>
      </c>
      <c r="Q24" s="1">
        <f t="shared" si="5"/>
        <v>9636.0000000000018</v>
      </c>
      <c r="R24" s="17"/>
    </row>
    <row r="25" spans="2:18" ht="18" customHeight="1" thickBot="1" x14ac:dyDescent="0.35">
      <c r="B25" s="62" t="s">
        <v>145</v>
      </c>
      <c r="C25" s="1" t="s">
        <v>129</v>
      </c>
      <c r="D25" s="63">
        <f t="shared" ref="D25:P25" si="7">D20+D21+D22+D23+D24</f>
        <v>50016.512961011584</v>
      </c>
      <c r="E25" s="63">
        <f t="shared" si="7"/>
        <v>50181.44867557114</v>
      </c>
      <c r="F25" s="63">
        <f t="shared" si="7"/>
        <v>50177.009907177744</v>
      </c>
      <c r="G25" s="63">
        <f t="shared" si="7"/>
        <v>52289.344737628897</v>
      </c>
      <c r="H25" s="63">
        <f t="shared" si="7"/>
        <v>50169.58816431529</v>
      </c>
      <c r="I25" s="63">
        <f t="shared" si="7"/>
        <v>50166.497081294096</v>
      </c>
      <c r="J25" s="63">
        <f t="shared" si="7"/>
        <v>52280.026462414957</v>
      </c>
      <c r="K25" s="63">
        <f t="shared" si="7"/>
        <v>50161.328705448221</v>
      </c>
      <c r="L25" s="63">
        <f t="shared" si="7"/>
        <v>50159.176127661529</v>
      </c>
      <c r="M25" s="63">
        <f t="shared" si="7"/>
        <v>52273.537373607469</v>
      </c>
      <c r="N25" s="63">
        <f t="shared" si="7"/>
        <v>50155.576958385624</v>
      </c>
      <c r="O25" s="63">
        <f t="shared" si="7"/>
        <v>50154.077939725808</v>
      </c>
      <c r="P25" s="63">
        <f t="shared" si="7"/>
        <v>52269.018482226311</v>
      </c>
      <c r="Q25" s="63">
        <f t="shared" si="5"/>
        <v>660453.14357646869</v>
      </c>
    </row>
    <row r="26" spans="2:18" ht="18" customHeight="1" thickTop="1" thickBot="1" x14ac:dyDescent="0.35">
      <c r="B26" s="60" t="s">
        <v>146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</row>
    <row r="27" spans="2:18" ht="18" customHeight="1" x14ac:dyDescent="0.3">
      <c r="B27" s="14" t="s">
        <v>147</v>
      </c>
      <c r="C27" s="1"/>
      <c r="D27" s="4">
        <f t="shared" ref="D27:P27" si="8">D15-D25</f>
        <v>980.07881981034006</v>
      </c>
      <c r="E27" s="4">
        <f t="shared" si="8"/>
        <v>833.41114695122815</v>
      </c>
      <c r="F27" s="4">
        <f t="shared" si="8"/>
        <v>853.73594353645603</v>
      </c>
      <c r="G27" s="4">
        <f t="shared" si="8"/>
        <v>-1244.7842758113329</v>
      </c>
      <c r="H27" s="4">
        <f t="shared" si="8"/>
        <v>886.98558852962742</v>
      </c>
      <c r="I27" s="4">
        <f t="shared" si="8"/>
        <v>900.52352092124056</v>
      </c>
      <c r="J27" s="4">
        <f t="shared" si="8"/>
        <v>-1203.9212004240471</v>
      </c>
      <c r="K27" s="4">
        <f t="shared" si="8"/>
        <v>922.67664587214676</v>
      </c>
      <c r="L27" s="4">
        <f t="shared" si="8"/>
        <v>931.69920150668622</v>
      </c>
      <c r="M27" s="4">
        <f t="shared" si="8"/>
        <v>-1176.6878593811125</v>
      </c>
      <c r="N27" s="4">
        <f t="shared" si="8"/>
        <v>946.46775266659097</v>
      </c>
      <c r="O27" s="4">
        <f t="shared" si="8"/>
        <v>952.4845540527167</v>
      </c>
      <c r="P27" s="4">
        <f t="shared" si="8"/>
        <v>-1158.5272901816279</v>
      </c>
      <c r="Q27" s="4">
        <f>SUM(D27:P27)</f>
        <v>3424.1425480489124</v>
      </c>
    </row>
    <row r="28" spans="2:18" ht="18" customHeight="1" x14ac:dyDescent="0.3">
      <c r="B28" s="14" t="s">
        <v>148</v>
      </c>
      <c r="C28" s="1">
        <f>'Financial Statements'!F32</f>
        <v>322064</v>
      </c>
      <c r="D28" s="5">
        <f>C28</f>
        <v>322064</v>
      </c>
      <c r="E28" s="5">
        <f t="shared" ref="E28:P28" si="9">D29</f>
        <v>323044.07881981035</v>
      </c>
      <c r="F28" s="5">
        <f t="shared" si="9"/>
        <v>323877.48996676155</v>
      </c>
      <c r="G28" s="5">
        <f t="shared" si="9"/>
        <v>324731.225910298</v>
      </c>
      <c r="H28" s="5">
        <f t="shared" si="9"/>
        <v>323486.44163448666</v>
      </c>
      <c r="I28" s="5">
        <f t="shared" si="9"/>
        <v>324373.42722301628</v>
      </c>
      <c r="J28" s="5">
        <f t="shared" si="9"/>
        <v>325273.95074393752</v>
      </c>
      <c r="K28" s="5">
        <f t="shared" si="9"/>
        <v>324070.02954351349</v>
      </c>
      <c r="L28" s="5">
        <f t="shared" si="9"/>
        <v>324992.70618938562</v>
      </c>
      <c r="M28" s="5">
        <f t="shared" si="9"/>
        <v>325924.40539089229</v>
      </c>
      <c r="N28" s="5">
        <f t="shared" si="9"/>
        <v>324747.71753151121</v>
      </c>
      <c r="O28" s="5">
        <f t="shared" si="9"/>
        <v>325694.18528417777</v>
      </c>
      <c r="P28" s="5">
        <f t="shared" si="9"/>
        <v>326646.66983823047</v>
      </c>
      <c r="Q28" s="4">
        <f>D28</f>
        <v>322064</v>
      </c>
    </row>
    <row r="29" spans="2:18" ht="18" customHeight="1" x14ac:dyDescent="0.3">
      <c r="B29" s="11" t="s">
        <v>104</v>
      </c>
      <c r="C29" s="1"/>
      <c r="D29" s="4">
        <f t="shared" ref="D29:P29" si="10">D28+D27</f>
        <v>323044.07881981035</v>
      </c>
      <c r="E29" s="4">
        <f t="shared" si="10"/>
        <v>323877.48996676155</v>
      </c>
      <c r="F29" s="4">
        <f t="shared" si="10"/>
        <v>324731.225910298</v>
      </c>
      <c r="G29" s="4">
        <f t="shared" si="10"/>
        <v>323486.44163448666</v>
      </c>
      <c r="H29" s="4">
        <f t="shared" si="10"/>
        <v>324373.42722301628</v>
      </c>
      <c r="I29" s="4">
        <f t="shared" si="10"/>
        <v>325273.95074393752</v>
      </c>
      <c r="J29" s="4">
        <f t="shared" si="10"/>
        <v>324070.02954351349</v>
      </c>
      <c r="K29" s="4">
        <f t="shared" si="10"/>
        <v>324992.70618938562</v>
      </c>
      <c r="L29" s="4">
        <f t="shared" si="10"/>
        <v>325924.40539089229</v>
      </c>
      <c r="M29" s="4">
        <f t="shared" si="10"/>
        <v>324747.71753151121</v>
      </c>
      <c r="N29" s="4">
        <f t="shared" si="10"/>
        <v>325694.18528417777</v>
      </c>
      <c r="O29" s="4">
        <f t="shared" si="10"/>
        <v>326646.66983823047</v>
      </c>
      <c r="P29" s="4">
        <f t="shared" si="10"/>
        <v>325488.14254804887</v>
      </c>
      <c r="Q29" s="4">
        <f>P29</f>
        <v>325488.14254804887</v>
      </c>
    </row>
    <row r="30" spans="2:18" ht="18" customHeight="1" x14ac:dyDescent="0.3">
      <c r="B30" s="11" t="s">
        <v>149</v>
      </c>
      <c r="C30" s="1">
        <v>15000</v>
      </c>
      <c r="D30" s="42">
        <v>15000</v>
      </c>
      <c r="E30" s="42">
        <v>15000</v>
      </c>
      <c r="F30" s="42">
        <v>15000</v>
      </c>
      <c r="G30" s="42">
        <v>15000</v>
      </c>
      <c r="H30" s="42">
        <v>15000</v>
      </c>
      <c r="I30" s="42">
        <v>15000</v>
      </c>
      <c r="J30" s="42">
        <v>15000</v>
      </c>
      <c r="K30" s="42">
        <v>15000</v>
      </c>
      <c r="L30" s="42">
        <v>15000</v>
      </c>
      <c r="M30" s="42">
        <v>15000</v>
      </c>
      <c r="N30" s="42">
        <v>15000</v>
      </c>
      <c r="O30" s="42">
        <v>15000</v>
      </c>
      <c r="P30" s="42">
        <v>15000</v>
      </c>
      <c r="Q30" s="17"/>
    </row>
    <row r="31" spans="2:18" ht="18" customHeight="1" x14ac:dyDescent="0.3">
      <c r="B31" s="11" t="s">
        <v>150</v>
      </c>
      <c r="C31" s="1"/>
      <c r="D31" s="4">
        <f t="shared" ref="D31:P31" si="11">D29-D30</f>
        <v>308044.07881981035</v>
      </c>
      <c r="E31" s="4">
        <f t="shared" si="11"/>
        <v>308877.48996676155</v>
      </c>
      <c r="F31" s="4">
        <f t="shared" si="11"/>
        <v>309731.225910298</v>
      </c>
      <c r="G31" s="4">
        <f t="shared" si="11"/>
        <v>308486.44163448666</v>
      </c>
      <c r="H31" s="4">
        <f t="shared" si="11"/>
        <v>309373.42722301628</v>
      </c>
      <c r="I31" s="4">
        <f t="shared" si="11"/>
        <v>310273.95074393752</v>
      </c>
      <c r="J31" s="4">
        <f t="shared" si="11"/>
        <v>309070.02954351349</v>
      </c>
      <c r="K31" s="4">
        <f t="shared" si="11"/>
        <v>309992.70618938562</v>
      </c>
      <c r="L31" s="4">
        <f t="shared" si="11"/>
        <v>310924.40539089229</v>
      </c>
      <c r="M31" s="4">
        <f t="shared" si="11"/>
        <v>309747.71753151121</v>
      </c>
      <c r="N31" s="4">
        <f t="shared" si="11"/>
        <v>310694.18528417777</v>
      </c>
      <c r="O31" s="4">
        <f t="shared" si="11"/>
        <v>311646.66983823047</v>
      </c>
      <c r="P31" s="4">
        <f t="shared" si="11"/>
        <v>310488.14254804887</v>
      </c>
      <c r="Q31" s="4">
        <f>P31</f>
        <v>310488.14254804887</v>
      </c>
    </row>
  </sheetData>
  <mergeCells count="2">
    <mergeCell ref="B2:Q2"/>
    <mergeCell ref="B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31"/>
  <sheetViews>
    <sheetView zoomScaleNormal="100" workbookViewId="0">
      <pane xSplit="3" topLeftCell="D1" activePane="topRight" state="frozen"/>
      <selection pane="topRight" activeCell="B2" sqref="B2:Q2"/>
    </sheetView>
  </sheetViews>
  <sheetFormatPr defaultColWidth="8.7109375" defaultRowHeight="16.5" x14ac:dyDescent="0.3"/>
  <cols>
    <col min="1" max="1" width="3" style="10" customWidth="1"/>
    <col min="2" max="2" width="34" style="10" customWidth="1"/>
    <col min="3" max="3" width="14" style="10" customWidth="1"/>
    <col min="4" max="16" width="13" style="10" customWidth="1"/>
    <col min="17" max="17" width="14" style="10" customWidth="1"/>
    <col min="18" max="18" width="22" customWidth="1"/>
    <col min="19" max="16384" width="8.7109375" style="10"/>
  </cols>
  <sheetData>
    <row r="1" spans="2:17" ht="7.5" customHeight="1" x14ac:dyDescent="0.3"/>
    <row r="2" spans="2:17" ht="36" customHeight="1" x14ac:dyDescent="0.3">
      <c r="B2" s="77" t="s">
        <v>176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7" ht="18" customHeight="1" x14ac:dyDescent="0.3">
      <c r="B3" s="78" t="s">
        <v>173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</row>
    <row r="4" spans="2:17" ht="30" customHeight="1" thickBot="1" x14ac:dyDescent="0.35">
      <c r="B4" s="58"/>
      <c r="C4" s="58" t="s">
        <v>112</v>
      </c>
      <c r="D4" s="59" t="s">
        <v>113</v>
      </c>
      <c r="E4" s="59" t="s">
        <v>114</v>
      </c>
      <c r="F4" s="59" t="s">
        <v>115</v>
      </c>
      <c r="G4" s="59" t="s">
        <v>116</v>
      </c>
      <c r="H4" s="59" t="s">
        <v>117</v>
      </c>
      <c r="I4" s="59" t="s">
        <v>118</v>
      </c>
      <c r="J4" s="59" t="s">
        <v>119</v>
      </c>
      <c r="K4" s="59" t="s">
        <v>120</v>
      </c>
      <c r="L4" s="59" t="s">
        <v>121</v>
      </c>
      <c r="M4" s="59" t="s">
        <v>122</v>
      </c>
      <c r="N4" s="59" t="s">
        <v>123</v>
      </c>
      <c r="O4" s="59" t="s">
        <v>124</v>
      </c>
      <c r="P4" s="59" t="s">
        <v>125</v>
      </c>
      <c r="Q4" s="59" t="s">
        <v>126</v>
      </c>
    </row>
    <row r="5" spans="2:17" ht="15" customHeight="1" thickTop="1" thickBot="1" x14ac:dyDescent="0.35">
      <c r="B5" s="60" t="s">
        <v>127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</row>
    <row r="6" spans="2:17" ht="15.75" customHeight="1" x14ac:dyDescent="0.3">
      <c r="B6" s="14" t="s">
        <v>128</v>
      </c>
      <c r="C6" s="1" t="s">
        <v>129</v>
      </c>
      <c r="D6" s="1">
        <f>'Base Case'!D6</f>
        <v>51136.692307692305</v>
      </c>
      <c r="E6" s="1">
        <f>'Base Case'!E6</f>
        <v>51136.692307692305</v>
      </c>
      <c r="F6" s="1">
        <f>'Base Case'!F6</f>
        <v>51136.692307692305</v>
      </c>
      <c r="G6" s="1">
        <f>'Base Case'!G6</f>
        <v>51136.692307692305</v>
      </c>
      <c r="H6" s="1">
        <f>'Base Case'!H6</f>
        <v>51136.692307692305</v>
      </c>
      <c r="I6" s="1">
        <f>'Base Case'!I6</f>
        <v>51136.692307692305</v>
      </c>
      <c r="J6" s="1">
        <f>'Base Case'!J6</f>
        <v>51136.692307692305</v>
      </c>
      <c r="K6" s="1">
        <f>'Base Case'!K6</f>
        <v>51136.692307692305</v>
      </c>
      <c r="L6" s="1">
        <f>'Base Case'!L6</f>
        <v>51136.692307692305</v>
      </c>
      <c r="M6" s="1">
        <f>'Base Case'!M6</f>
        <v>51136.692307692305</v>
      </c>
      <c r="N6" s="1">
        <f>'Base Case'!N6</f>
        <v>51136.692307692305</v>
      </c>
      <c r="O6" s="1">
        <f>'Base Case'!O6</f>
        <v>51136.692307692305</v>
      </c>
      <c r="P6" s="1">
        <f>'Base Case'!P6</f>
        <v>51136.692307692305</v>
      </c>
      <c r="Q6" s="1"/>
    </row>
    <row r="7" spans="2:17" ht="15.75" customHeight="1" x14ac:dyDescent="0.3">
      <c r="B7" s="14" t="s">
        <v>130</v>
      </c>
      <c r="C7" s="1" t="s">
        <v>129</v>
      </c>
      <c r="D7" s="1">
        <f>'Base Case'!D7+15</f>
        <v>68.684117004649679</v>
      </c>
      <c r="E7" s="1">
        <f>'Base Case'!E7+15</f>
        <v>68.684117004649679</v>
      </c>
      <c r="F7" s="1">
        <f>'Base Case'!F7+15</f>
        <v>68.684117004649679</v>
      </c>
      <c r="G7" s="1">
        <f>'Base Case'!G7+15</f>
        <v>68.684117004649679</v>
      </c>
      <c r="H7" s="1">
        <f>'Base Case'!H7+15</f>
        <v>68.684117004649679</v>
      </c>
      <c r="I7" s="1">
        <f>'Base Case'!I7+15</f>
        <v>68.684117004649679</v>
      </c>
      <c r="J7" s="1">
        <f>'Base Case'!J7+15</f>
        <v>68.684117004649679</v>
      </c>
      <c r="K7" s="1">
        <f>'Base Case'!K7+15</f>
        <v>68.684117004649679</v>
      </c>
      <c r="L7" s="1">
        <f>'Base Case'!L7+15</f>
        <v>68.684117004649679</v>
      </c>
      <c r="M7" s="1">
        <f>'Base Case'!M7+15</f>
        <v>68.684117004649679</v>
      </c>
      <c r="N7" s="1">
        <f>'Base Case'!N7+15</f>
        <v>68.684117004649679</v>
      </c>
      <c r="O7" s="1">
        <f>'Base Case'!O7+15</f>
        <v>68.684117004649679</v>
      </c>
      <c r="P7" s="1">
        <f>'Base Case'!P7+15</f>
        <v>68.684117004649679</v>
      </c>
      <c r="Q7" s="1"/>
    </row>
    <row r="8" spans="2:17" ht="15.75" customHeight="1" x14ac:dyDescent="0.3">
      <c r="B8" s="14" t="s">
        <v>131</v>
      </c>
      <c r="C8" s="1" t="s">
        <v>129</v>
      </c>
      <c r="D8" s="1">
        <f>'Base Case'!D8</f>
        <v>73.723447538011015</v>
      </c>
      <c r="E8" s="1">
        <f>'Base Case'!E8</f>
        <v>73.723447538011015</v>
      </c>
      <c r="F8" s="1">
        <f>'Base Case'!F8</f>
        <v>73.723447538011015</v>
      </c>
      <c r="G8" s="1">
        <f>'Base Case'!G8</f>
        <v>73.723447538011015</v>
      </c>
      <c r="H8" s="1">
        <f>'Base Case'!H8</f>
        <v>73.723447538011015</v>
      </c>
      <c r="I8" s="1">
        <f>'Base Case'!I8</f>
        <v>73.723447538011015</v>
      </c>
      <c r="J8" s="1">
        <f>'Base Case'!J8</f>
        <v>73.723447538011015</v>
      </c>
      <c r="K8" s="1">
        <f>'Base Case'!K8</f>
        <v>73.723447538011015</v>
      </c>
      <c r="L8" s="1">
        <f>'Base Case'!L8</f>
        <v>73.723447538011015</v>
      </c>
      <c r="M8" s="1">
        <f>'Base Case'!M8</f>
        <v>73.723447538011015</v>
      </c>
      <c r="N8" s="1">
        <f>'Base Case'!N8</f>
        <v>73.723447538011015</v>
      </c>
      <c r="O8" s="1">
        <f>'Base Case'!O8</f>
        <v>73.723447538011015</v>
      </c>
      <c r="P8" s="1">
        <f>'Base Case'!P8</f>
        <v>73.723447538011015</v>
      </c>
      <c r="Q8" s="1"/>
    </row>
    <row r="9" spans="2:17" ht="15.75" customHeight="1" x14ac:dyDescent="0.3">
      <c r="B9" s="14" t="s">
        <v>132</v>
      </c>
      <c r="C9" s="1" t="s">
        <v>129</v>
      </c>
      <c r="D9" s="1">
        <f>'Base Case'!D9</f>
        <v>61.604570698572317</v>
      </c>
      <c r="E9" s="1">
        <f>'Base Case'!E9</f>
        <v>61.604570698572317</v>
      </c>
      <c r="F9" s="1">
        <f>'Base Case'!F9</f>
        <v>61.604570698572317</v>
      </c>
      <c r="G9" s="1">
        <f>'Base Case'!G9</f>
        <v>61.604570698572317</v>
      </c>
      <c r="H9" s="1">
        <f>'Base Case'!H9</f>
        <v>61.604570698572317</v>
      </c>
      <c r="I9" s="1">
        <f>'Base Case'!I9</f>
        <v>61.604570698572317</v>
      </c>
      <c r="J9" s="1">
        <f>'Base Case'!J9</f>
        <v>61.604570698572317</v>
      </c>
      <c r="K9" s="1">
        <f>'Base Case'!K9</f>
        <v>61.604570698572317</v>
      </c>
      <c r="L9" s="1">
        <f>'Base Case'!L9</f>
        <v>61.604570698572317</v>
      </c>
      <c r="M9" s="1">
        <f>'Base Case'!M9</f>
        <v>61.604570698572317</v>
      </c>
      <c r="N9" s="1">
        <f>'Base Case'!N9</f>
        <v>61.604570698572317</v>
      </c>
      <c r="O9" s="1">
        <f>'Base Case'!O9</f>
        <v>61.604570698572317</v>
      </c>
      <c r="P9" s="1">
        <f>'Base Case'!P9</f>
        <v>61.604570698572317</v>
      </c>
      <c r="Q9" s="1"/>
    </row>
    <row r="10" spans="2:17" ht="15.75" customHeight="1" thickBot="1" x14ac:dyDescent="0.35">
      <c r="B10" s="14" t="s">
        <v>109</v>
      </c>
      <c r="C10" s="1" t="s">
        <v>129</v>
      </c>
      <c r="D10" s="1">
        <f>'Base Case'!D10</f>
        <v>741.23076923076928</v>
      </c>
      <c r="E10" s="1">
        <f>'Base Case'!E10</f>
        <v>741.23076923076928</v>
      </c>
      <c r="F10" s="1">
        <f>'Base Case'!F10</f>
        <v>741.23076923076928</v>
      </c>
      <c r="G10" s="1">
        <f>'Base Case'!G10</f>
        <v>741.23076923076928</v>
      </c>
      <c r="H10" s="1">
        <f>'Base Case'!H10</f>
        <v>741.23076923076928</v>
      </c>
      <c r="I10" s="1">
        <f>'Base Case'!I10</f>
        <v>741.23076923076928</v>
      </c>
      <c r="J10" s="1">
        <f>'Base Case'!J10</f>
        <v>741.23076923076928</v>
      </c>
      <c r="K10" s="1">
        <f>'Base Case'!K10</f>
        <v>741.23076923076928</v>
      </c>
      <c r="L10" s="1">
        <f>'Base Case'!L10</f>
        <v>741.23076923076928</v>
      </c>
      <c r="M10" s="1">
        <f>'Base Case'!M10</f>
        <v>741.23076923076928</v>
      </c>
      <c r="N10" s="1">
        <f>'Base Case'!N10</f>
        <v>741.23076923076928</v>
      </c>
      <c r="O10" s="1">
        <f>'Base Case'!O10</f>
        <v>741.23076923076928</v>
      </c>
      <c r="P10" s="1">
        <f>'Base Case'!P10</f>
        <v>741.23076923076928</v>
      </c>
      <c r="Q10" s="1"/>
    </row>
    <row r="11" spans="2:17" ht="18" customHeight="1" thickTop="1" thickBot="1" x14ac:dyDescent="0.35">
      <c r="B11" s="60" t="s">
        <v>133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</row>
    <row r="12" spans="2:17" ht="15.75" customHeight="1" x14ac:dyDescent="0.3">
      <c r="B12" s="14" t="s">
        <v>134</v>
      </c>
      <c r="C12" s="1" t="s">
        <v>129</v>
      </c>
      <c r="D12" s="5">
        <f t="shared" ref="D12:P12" si="0">IF(D7=0,0,C13/D7*7)</f>
        <v>39859.389905451746</v>
      </c>
      <c r="E12" s="5">
        <f t="shared" si="0"/>
        <v>41008.725738222805</v>
      </c>
      <c r="F12" s="5">
        <f t="shared" si="0"/>
        <v>42040.926035439807</v>
      </c>
      <c r="G12" s="5">
        <f t="shared" si="0"/>
        <v>42967.928764490789</v>
      </c>
      <c r="H12" s="5">
        <f t="shared" si="0"/>
        <v>43800.455224699035</v>
      </c>
      <c r="I12" s="5">
        <f t="shared" si="0"/>
        <v>44548.134045080122</v>
      </c>
      <c r="J12" s="5">
        <f t="shared" si="0"/>
        <v>45219.612544762422</v>
      </c>
      <c r="K12" s="5">
        <f t="shared" si="0"/>
        <v>45822.656744016014</v>
      </c>
      <c r="L12" s="5">
        <f t="shared" si="0"/>
        <v>46364.241182572834</v>
      </c>
      <c r="M12" s="5">
        <f t="shared" si="0"/>
        <v>46850.62958403652</v>
      </c>
      <c r="N12" s="5">
        <f t="shared" si="0"/>
        <v>47287.447299310632</v>
      </c>
      <c r="O12" s="5">
        <f t="shared" si="0"/>
        <v>47679.746366893422</v>
      </c>
      <c r="P12" s="5">
        <f t="shared" si="0"/>
        <v>48032.063942497611</v>
      </c>
      <c r="Q12" s="4">
        <f>SUM(D12:P12)</f>
        <v>581481.95737747382</v>
      </c>
    </row>
    <row r="13" spans="2:17" ht="15.75" customHeight="1" x14ac:dyDescent="0.3">
      <c r="B13" s="14" t="s">
        <v>135</v>
      </c>
      <c r="C13" s="1">
        <f>'Financial Statements'!F34</f>
        <v>391101</v>
      </c>
      <c r="D13" s="5">
        <f t="shared" ref="D13:P13" si="1">C13+D6-D12</f>
        <v>402378.30240224057</v>
      </c>
      <c r="E13" s="5">
        <f t="shared" si="1"/>
        <v>412506.26897171006</v>
      </c>
      <c r="F13" s="5">
        <f t="shared" si="1"/>
        <v>421602.03524396254</v>
      </c>
      <c r="G13" s="5">
        <f t="shared" si="1"/>
        <v>429770.79878716404</v>
      </c>
      <c r="H13" s="5">
        <f t="shared" si="1"/>
        <v>437107.0358701573</v>
      </c>
      <c r="I13" s="5">
        <f t="shared" si="1"/>
        <v>443695.5941327695</v>
      </c>
      <c r="J13" s="5">
        <f t="shared" si="1"/>
        <v>449612.67389569938</v>
      </c>
      <c r="K13" s="5">
        <f t="shared" si="1"/>
        <v>454926.70945937571</v>
      </c>
      <c r="L13" s="5">
        <f t="shared" si="1"/>
        <v>459699.16058449517</v>
      </c>
      <c r="M13" s="5">
        <f t="shared" si="1"/>
        <v>463985.22330815095</v>
      </c>
      <c r="N13" s="5">
        <f t="shared" si="1"/>
        <v>467834.46831653261</v>
      </c>
      <c r="O13" s="5">
        <f t="shared" si="1"/>
        <v>471291.41425733152</v>
      </c>
      <c r="P13" s="5">
        <f t="shared" si="1"/>
        <v>474396.04262252623</v>
      </c>
      <c r="Q13" s="42">
        <f>P13</f>
        <v>474396.04262252623</v>
      </c>
    </row>
    <row r="14" spans="2:17" ht="15.75" customHeight="1" x14ac:dyDescent="0.3">
      <c r="C14" s="1"/>
    </row>
    <row r="15" spans="2:17" ht="18" customHeight="1" thickBot="1" x14ac:dyDescent="0.35">
      <c r="B15" s="2" t="s">
        <v>136</v>
      </c>
      <c r="C15" s="1" t="s">
        <v>129</v>
      </c>
      <c r="D15" s="3">
        <f t="shared" ref="D15:P15" si="2">D12</f>
        <v>39859.389905451746</v>
      </c>
      <c r="E15" s="3">
        <f t="shared" si="2"/>
        <v>41008.725738222805</v>
      </c>
      <c r="F15" s="3">
        <f t="shared" si="2"/>
        <v>42040.926035439807</v>
      </c>
      <c r="G15" s="3">
        <f t="shared" si="2"/>
        <v>42967.928764490789</v>
      </c>
      <c r="H15" s="3">
        <f t="shared" si="2"/>
        <v>43800.455224699035</v>
      </c>
      <c r="I15" s="3">
        <f t="shared" si="2"/>
        <v>44548.134045080122</v>
      </c>
      <c r="J15" s="3">
        <f t="shared" si="2"/>
        <v>45219.612544762422</v>
      </c>
      <c r="K15" s="3">
        <f t="shared" si="2"/>
        <v>45822.656744016014</v>
      </c>
      <c r="L15" s="3">
        <f t="shared" si="2"/>
        <v>46364.241182572834</v>
      </c>
      <c r="M15" s="3">
        <f t="shared" si="2"/>
        <v>46850.62958403652</v>
      </c>
      <c r="N15" s="3">
        <f t="shared" si="2"/>
        <v>47287.447299310632</v>
      </c>
      <c r="O15" s="3">
        <f t="shared" si="2"/>
        <v>47679.746366893422</v>
      </c>
      <c r="P15" s="3">
        <f t="shared" si="2"/>
        <v>48032.063942497611</v>
      </c>
      <c r="Q15" s="3">
        <f>SUM(D15:P15)</f>
        <v>581481.95737747382</v>
      </c>
    </row>
    <row r="16" spans="2:17" ht="18" customHeight="1" thickTop="1" thickBot="1" x14ac:dyDescent="0.35">
      <c r="B16" s="60" t="s">
        <v>137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</row>
    <row r="17" spans="2:17" ht="15.75" customHeight="1" x14ac:dyDescent="0.3">
      <c r="B17" s="14" t="s">
        <v>138</v>
      </c>
      <c r="C17" s="1">
        <f>'Financial Statements'!F36</f>
        <v>482544</v>
      </c>
      <c r="D17" s="5">
        <f>(D6*'Financial Statements'!$F$96)/7*D8</f>
        <v>483869.67032967031</v>
      </c>
      <c r="E17" s="5">
        <f>(E6*'Financial Statements'!$F$96)/7*E8</f>
        <v>483869.67032967031</v>
      </c>
      <c r="F17" s="5">
        <f>(F6*'Financial Statements'!$F$96)/7*F8</f>
        <v>483869.67032967031</v>
      </c>
      <c r="G17" s="5">
        <f>(G6*'Financial Statements'!$F$96)/7*G8</f>
        <v>483869.67032967031</v>
      </c>
      <c r="H17" s="5">
        <f>(H6*'Financial Statements'!$F$96)/7*H8</f>
        <v>483869.67032967031</v>
      </c>
      <c r="I17" s="5">
        <f>(I6*'Financial Statements'!$F$96)/7*I8</f>
        <v>483869.67032967031</v>
      </c>
      <c r="J17" s="5">
        <f>(J6*'Financial Statements'!$F$96)/7*J8</f>
        <v>483869.67032967031</v>
      </c>
      <c r="K17" s="5">
        <f>(K6*'Financial Statements'!$F$96)/7*K8</f>
        <v>483869.67032967031</v>
      </c>
      <c r="L17" s="5">
        <f>(L6*'Financial Statements'!$F$96)/7*L8</f>
        <v>483869.67032967031</v>
      </c>
      <c r="M17" s="5">
        <f>(M6*'Financial Statements'!$F$96)/7*M8</f>
        <v>483869.67032967031</v>
      </c>
      <c r="N17" s="5">
        <f>(N6*'Financial Statements'!$F$96)/7*N8</f>
        <v>483869.67032967031</v>
      </c>
      <c r="O17" s="5">
        <f>(O6*'Financial Statements'!$F$96)/7*O8</f>
        <v>483869.67032967031</v>
      </c>
      <c r="P17" s="5">
        <f>(P6*'Financial Statements'!$F$96)/7*P8</f>
        <v>483869.67032967031</v>
      </c>
      <c r="Q17" s="5">
        <f>P17</f>
        <v>483869.67032967031</v>
      </c>
    </row>
    <row r="18" spans="2:17" ht="15.75" customHeight="1" x14ac:dyDescent="0.3">
      <c r="B18" s="14" t="s">
        <v>139</v>
      </c>
      <c r="C18" s="1" t="s">
        <v>129</v>
      </c>
      <c r="D18" s="5">
        <f>(D6*'Financial Statements'!$F$96)+D17-C17</f>
        <v>47268.824175824178</v>
      </c>
      <c r="E18" s="5">
        <f>(E6*'Financial Statements'!$F$96)+E17-D17</f>
        <v>45943.153846153873</v>
      </c>
      <c r="F18" s="5">
        <f>(F6*'Financial Statements'!$F$96)+F17-E17</f>
        <v>45943.153846153873</v>
      </c>
      <c r="G18" s="5">
        <f>(G6*'Financial Statements'!$F$96)+G17-F17</f>
        <v>45943.153846153873</v>
      </c>
      <c r="H18" s="5">
        <f>(H6*'Financial Statements'!$F$96)+H17-G17</f>
        <v>45943.153846153873</v>
      </c>
      <c r="I18" s="5">
        <f>(I6*'Financial Statements'!$F$96)+I17-H17</f>
        <v>45943.153846153873</v>
      </c>
      <c r="J18" s="5">
        <f>(J6*'Financial Statements'!$F$96)+J17-I17</f>
        <v>45943.153846153873</v>
      </c>
      <c r="K18" s="5">
        <f>(K6*'Financial Statements'!$F$96)+K17-J17</f>
        <v>45943.153846153873</v>
      </c>
      <c r="L18" s="5">
        <f>(L6*'Financial Statements'!$F$96)+L17-K17</f>
        <v>45943.153846153873</v>
      </c>
      <c r="M18" s="5">
        <f>(M6*'Financial Statements'!$F$96)+M17-L17</f>
        <v>45943.153846153873</v>
      </c>
      <c r="N18" s="5">
        <f>(N6*'Financial Statements'!$F$96)+N17-M17</f>
        <v>45943.153846153873</v>
      </c>
      <c r="O18" s="5">
        <f>(O6*'Financial Statements'!$F$96)+O17-N17</f>
        <v>45943.153846153873</v>
      </c>
      <c r="P18" s="5">
        <f>(P6*'Financial Statements'!$F$96)+P17-O17</f>
        <v>45943.153846153873</v>
      </c>
      <c r="Q18" s="5">
        <f>SUM(D18:P18)</f>
        <v>598586.67032967065</v>
      </c>
    </row>
    <row r="19" spans="2:17" ht="15.75" customHeight="1" x14ac:dyDescent="0.3">
      <c r="B19" s="14" t="s">
        <v>140</v>
      </c>
      <c r="C19" s="1">
        <f>'Financial Statements'!F48</f>
        <v>403222</v>
      </c>
      <c r="D19" s="5">
        <f t="shared" ref="D19:P19" si="3">C19+D18-D20</f>
        <v>404673.54198404338</v>
      </c>
      <c r="E19" s="5">
        <f t="shared" si="3"/>
        <v>404634.47792385687</v>
      </c>
      <c r="F19" s="5">
        <f t="shared" si="3"/>
        <v>404599.85263206379</v>
      </c>
      <c r="G19" s="5">
        <f t="shared" si="3"/>
        <v>404569.16174058878</v>
      </c>
      <c r="H19" s="5">
        <f t="shared" si="3"/>
        <v>404541.95819165814</v>
      </c>
      <c r="I19" s="5">
        <f t="shared" si="3"/>
        <v>404517.84572574869</v>
      </c>
      <c r="J19" s="5">
        <f t="shared" si="3"/>
        <v>404496.47310948762</v>
      </c>
      <c r="K19" s="5">
        <f t="shared" si="3"/>
        <v>404477.52901942405</v>
      </c>
      <c r="L19" s="5">
        <f t="shared" si="3"/>
        <v>404460.73750714713</v>
      </c>
      <c r="M19" s="5">
        <f t="shared" si="3"/>
        <v>404445.85397969355</v>
      </c>
      <c r="N19" s="5">
        <f t="shared" si="3"/>
        <v>404432.66163669259</v>
      </c>
      <c r="O19" s="5">
        <f t="shared" si="3"/>
        <v>404420.96831235144</v>
      </c>
      <c r="P19" s="5">
        <f t="shared" si="3"/>
        <v>404410.60367627902</v>
      </c>
      <c r="Q19" s="5">
        <f>P19</f>
        <v>404410.60367627902</v>
      </c>
    </row>
    <row r="20" spans="2:17" ht="15.75" customHeight="1" x14ac:dyDescent="0.3">
      <c r="B20" s="14" t="s">
        <v>141</v>
      </c>
      <c r="C20" s="1" t="s">
        <v>129</v>
      </c>
      <c r="D20" s="5">
        <f t="shared" ref="D20:P20" si="4">C19/D9*7</f>
        <v>45817.282191780818</v>
      </c>
      <c r="E20" s="5">
        <f t="shared" si="4"/>
        <v>45982.217906340375</v>
      </c>
      <c r="F20" s="5">
        <f t="shared" si="4"/>
        <v>45977.779137946978</v>
      </c>
      <c r="G20" s="5">
        <f t="shared" si="4"/>
        <v>45973.844737628904</v>
      </c>
      <c r="H20" s="5">
        <f t="shared" si="4"/>
        <v>45970.357395084524</v>
      </c>
      <c r="I20" s="5">
        <f t="shared" si="4"/>
        <v>45967.26631206333</v>
      </c>
      <c r="J20" s="5">
        <f t="shared" si="4"/>
        <v>45964.526462414964</v>
      </c>
      <c r="K20" s="5">
        <f t="shared" si="4"/>
        <v>45962.097936217455</v>
      </c>
      <c r="L20" s="5">
        <f t="shared" si="4"/>
        <v>45959.945358430763</v>
      </c>
      <c r="M20" s="5">
        <f t="shared" si="4"/>
        <v>45958.037373607469</v>
      </c>
      <c r="N20" s="5">
        <f t="shared" si="4"/>
        <v>45956.346189154858</v>
      </c>
      <c r="O20" s="5">
        <f t="shared" si="4"/>
        <v>45954.847170495043</v>
      </c>
      <c r="P20" s="5">
        <f t="shared" si="4"/>
        <v>45953.518482226311</v>
      </c>
      <c r="Q20" s="5">
        <f t="shared" ref="Q20:Q25" si="5">SUM(D20:P20)</f>
        <v>597398.0666533917</v>
      </c>
    </row>
    <row r="21" spans="2:17" ht="15.75" customHeight="1" x14ac:dyDescent="0.3">
      <c r="B21" s="14" t="s">
        <v>142</v>
      </c>
      <c r="C21" s="1" t="s">
        <v>129</v>
      </c>
      <c r="D21" s="5">
        <f>D6*'Financial Statements'!$F$102</f>
        <v>3070.3461538461538</v>
      </c>
      <c r="E21" s="5">
        <f>E6*'Financial Statements'!$F$102</f>
        <v>3070.3461538461538</v>
      </c>
      <c r="F21" s="5">
        <f>F6*'Financial Statements'!$F$102</f>
        <v>3070.3461538461538</v>
      </c>
      <c r="G21" s="5">
        <f>G6*'Financial Statements'!$F$102</f>
        <v>3070.3461538461538</v>
      </c>
      <c r="H21" s="5">
        <f>H6*'Financial Statements'!$F$102</f>
        <v>3070.3461538461538</v>
      </c>
      <c r="I21" s="5">
        <f>I6*'Financial Statements'!$F$102</f>
        <v>3070.3461538461538</v>
      </c>
      <c r="J21" s="5">
        <f>J6*'Financial Statements'!$F$102</f>
        <v>3070.3461538461538</v>
      </c>
      <c r="K21" s="5">
        <f>K6*'Financial Statements'!$F$102</f>
        <v>3070.3461538461538</v>
      </c>
      <c r="L21" s="5">
        <f>L6*'Financial Statements'!$F$102</f>
        <v>3070.3461538461538</v>
      </c>
      <c r="M21" s="5">
        <f>M6*'Financial Statements'!$F$102</f>
        <v>3070.3461538461538</v>
      </c>
      <c r="N21" s="5">
        <f>N6*'Financial Statements'!$F$102</f>
        <v>3070.3461538461538</v>
      </c>
      <c r="O21" s="5">
        <f>O6*'Financial Statements'!$F$102</f>
        <v>3070.3461538461538</v>
      </c>
      <c r="P21" s="5">
        <f>P6*'Financial Statements'!$F$102</f>
        <v>3070.3461538461538</v>
      </c>
      <c r="Q21" s="5">
        <f t="shared" si="5"/>
        <v>39914.5</v>
      </c>
    </row>
    <row r="22" spans="2:17" ht="15.75" customHeight="1" x14ac:dyDescent="0.3">
      <c r="B22" s="14" t="s">
        <v>33</v>
      </c>
      <c r="C22" s="1" t="s">
        <v>129</v>
      </c>
      <c r="D22" s="1">
        <f>'Financial Statements'!$F$100</f>
        <v>387.65384615384613</v>
      </c>
      <c r="E22" s="1">
        <f>'Financial Statements'!$F$100</f>
        <v>387.65384615384613</v>
      </c>
      <c r="F22" s="1">
        <f>'Financial Statements'!$F$100</f>
        <v>387.65384615384613</v>
      </c>
      <c r="G22" s="1">
        <f>'Financial Statements'!$F$100</f>
        <v>387.65384615384613</v>
      </c>
      <c r="H22" s="1">
        <f>'Financial Statements'!$F$100</f>
        <v>387.65384615384613</v>
      </c>
      <c r="I22" s="1">
        <f>'Financial Statements'!$F$100</f>
        <v>387.65384615384613</v>
      </c>
      <c r="J22" s="1">
        <f>'Financial Statements'!$F$100</f>
        <v>387.65384615384613</v>
      </c>
      <c r="K22" s="1">
        <f>'Financial Statements'!$F$100</f>
        <v>387.65384615384613</v>
      </c>
      <c r="L22" s="1">
        <f>'Financial Statements'!$F$100</f>
        <v>387.65384615384613</v>
      </c>
      <c r="M22" s="1">
        <f>'Financial Statements'!$F$100</f>
        <v>387.65384615384613</v>
      </c>
      <c r="N22" s="1">
        <f>'Financial Statements'!$F$100</f>
        <v>387.65384615384613</v>
      </c>
      <c r="O22" s="1">
        <f>'Financial Statements'!$F$100</f>
        <v>387.65384615384613</v>
      </c>
      <c r="P22" s="1">
        <f>'Financial Statements'!$F$100</f>
        <v>387.65384615384613</v>
      </c>
      <c r="Q22" s="1">
        <f t="shared" si="5"/>
        <v>5039.4999999999991</v>
      </c>
    </row>
    <row r="23" spans="2:17" ht="15.75" customHeight="1" x14ac:dyDescent="0.3">
      <c r="B23" s="14" t="s">
        <v>143</v>
      </c>
      <c r="C23" s="1" t="s">
        <v>129</v>
      </c>
      <c r="D23" s="1">
        <v>0</v>
      </c>
      <c r="E23" s="1">
        <v>0</v>
      </c>
      <c r="F23" s="1">
        <v>0</v>
      </c>
      <c r="G23" s="1">
        <f>'Financial Statements'!$F$20/52*3</f>
        <v>2116.2692307692305</v>
      </c>
      <c r="H23" s="1">
        <v>0</v>
      </c>
      <c r="I23" s="1">
        <v>0</v>
      </c>
      <c r="J23" s="1">
        <f>'Financial Statements'!$F$20/52*3</f>
        <v>2116.2692307692305</v>
      </c>
      <c r="K23" s="1">
        <v>0</v>
      </c>
      <c r="L23" s="1">
        <v>0</v>
      </c>
      <c r="M23" s="1">
        <f>'Financial Statements'!$F$20/52*3</f>
        <v>2116.2692307692305</v>
      </c>
      <c r="N23" s="1">
        <v>0</v>
      </c>
      <c r="O23" s="1">
        <v>0</v>
      </c>
      <c r="P23" s="1">
        <f>'Financial Statements'!$F$20/52*3</f>
        <v>2116.2692307692305</v>
      </c>
      <c r="Q23" s="1">
        <f t="shared" si="5"/>
        <v>8465.076923076922</v>
      </c>
    </row>
    <row r="24" spans="2:17" ht="15.75" customHeight="1" x14ac:dyDescent="0.3">
      <c r="B24" s="14" t="s">
        <v>144</v>
      </c>
      <c r="C24" s="1" t="s">
        <v>129</v>
      </c>
      <c r="D24" s="1">
        <f>D10</f>
        <v>741.23076923076928</v>
      </c>
      <c r="E24" s="1">
        <f t="shared" ref="E24:P24" si="6">E10</f>
        <v>741.23076923076928</v>
      </c>
      <c r="F24" s="1">
        <f t="shared" si="6"/>
        <v>741.23076923076928</v>
      </c>
      <c r="G24" s="1">
        <f t="shared" si="6"/>
        <v>741.23076923076928</v>
      </c>
      <c r="H24" s="1">
        <f t="shared" si="6"/>
        <v>741.23076923076928</v>
      </c>
      <c r="I24" s="1">
        <f t="shared" si="6"/>
        <v>741.23076923076928</v>
      </c>
      <c r="J24" s="1">
        <f t="shared" si="6"/>
        <v>741.23076923076928</v>
      </c>
      <c r="K24" s="1">
        <f t="shared" si="6"/>
        <v>741.23076923076928</v>
      </c>
      <c r="L24" s="1">
        <f t="shared" si="6"/>
        <v>741.23076923076928</v>
      </c>
      <c r="M24" s="1">
        <f t="shared" si="6"/>
        <v>741.23076923076928</v>
      </c>
      <c r="N24" s="1">
        <f t="shared" si="6"/>
        <v>741.23076923076928</v>
      </c>
      <c r="O24" s="1">
        <f t="shared" si="6"/>
        <v>741.23076923076928</v>
      </c>
      <c r="P24" s="1">
        <f t="shared" si="6"/>
        <v>741.23076923076928</v>
      </c>
      <c r="Q24" s="1">
        <f t="shared" si="5"/>
        <v>9636.0000000000018</v>
      </c>
    </row>
    <row r="25" spans="2:17" ht="18" customHeight="1" thickBot="1" x14ac:dyDescent="0.35">
      <c r="B25" s="62" t="s">
        <v>145</v>
      </c>
      <c r="C25" s="1" t="s">
        <v>129</v>
      </c>
      <c r="D25" s="63">
        <f t="shared" ref="D25:P25" si="7">D20+D21+D22+D23+D24</f>
        <v>50016.512961011584</v>
      </c>
      <c r="E25" s="63">
        <f t="shared" si="7"/>
        <v>50181.44867557114</v>
      </c>
      <c r="F25" s="63">
        <f t="shared" si="7"/>
        <v>50177.009907177744</v>
      </c>
      <c r="G25" s="63">
        <f t="shared" si="7"/>
        <v>52289.344737628897</v>
      </c>
      <c r="H25" s="63">
        <f t="shared" si="7"/>
        <v>50169.58816431529</v>
      </c>
      <c r="I25" s="63">
        <f t="shared" si="7"/>
        <v>50166.497081294096</v>
      </c>
      <c r="J25" s="63">
        <f t="shared" si="7"/>
        <v>52280.026462414957</v>
      </c>
      <c r="K25" s="63">
        <f t="shared" si="7"/>
        <v>50161.328705448221</v>
      </c>
      <c r="L25" s="63">
        <f t="shared" si="7"/>
        <v>50159.176127661529</v>
      </c>
      <c r="M25" s="63">
        <f t="shared" si="7"/>
        <v>52273.537373607469</v>
      </c>
      <c r="N25" s="63">
        <f t="shared" si="7"/>
        <v>50155.576958385624</v>
      </c>
      <c r="O25" s="63">
        <f t="shared" si="7"/>
        <v>50154.077939725808</v>
      </c>
      <c r="P25" s="63">
        <f t="shared" si="7"/>
        <v>52269.018482226311</v>
      </c>
      <c r="Q25" s="63">
        <f t="shared" si="5"/>
        <v>660453.14357646869</v>
      </c>
    </row>
    <row r="26" spans="2:17" ht="18" customHeight="1" thickTop="1" thickBot="1" x14ac:dyDescent="0.35">
      <c r="B26" s="60" t="s">
        <v>146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</row>
    <row r="27" spans="2:17" ht="18" customHeight="1" x14ac:dyDescent="0.3">
      <c r="B27" s="14" t="s">
        <v>147</v>
      </c>
      <c r="C27" s="1"/>
      <c r="D27" s="4">
        <f t="shared" ref="D27:P27" si="8">D15-D25</f>
        <v>-10157.123055559838</v>
      </c>
      <c r="E27" s="4">
        <f t="shared" si="8"/>
        <v>-9172.7229373483351</v>
      </c>
      <c r="F27" s="4">
        <f t="shared" si="8"/>
        <v>-8136.0838717379374</v>
      </c>
      <c r="G27" s="4">
        <f t="shared" si="8"/>
        <v>-9321.4159731381078</v>
      </c>
      <c r="H27" s="4">
        <f t="shared" si="8"/>
        <v>-6369.1329396162546</v>
      </c>
      <c r="I27" s="4">
        <f t="shared" si="8"/>
        <v>-5618.3630362139738</v>
      </c>
      <c r="J27" s="4">
        <f t="shared" si="8"/>
        <v>-7060.413917652535</v>
      </c>
      <c r="K27" s="4">
        <f t="shared" si="8"/>
        <v>-4338.6719614322064</v>
      </c>
      <c r="L27" s="4">
        <f t="shared" si="8"/>
        <v>-3794.9349450886948</v>
      </c>
      <c r="M27" s="4">
        <f t="shared" si="8"/>
        <v>-5422.9077895709488</v>
      </c>
      <c r="N27" s="4">
        <f t="shared" si="8"/>
        <v>-2868.1296590749917</v>
      </c>
      <c r="O27" s="4">
        <f t="shared" si="8"/>
        <v>-2474.3315728323869</v>
      </c>
      <c r="P27" s="4">
        <f t="shared" si="8"/>
        <v>-4236.9545397287002</v>
      </c>
      <c r="Q27" s="4">
        <f>SUM(D27:P27)</f>
        <v>-78971.186198994925</v>
      </c>
    </row>
    <row r="28" spans="2:17" ht="18" customHeight="1" x14ac:dyDescent="0.3">
      <c r="B28" s="14" t="s">
        <v>148</v>
      </c>
      <c r="C28" s="1">
        <f>'Financial Statements'!F32</f>
        <v>322064</v>
      </c>
      <c r="D28" s="5">
        <f>C28</f>
        <v>322064</v>
      </c>
      <c r="E28" s="5">
        <f t="shared" ref="E28:P28" si="9">D29</f>
        <v>311906.87694444018</v>
      </c>
      <c r="F28" s="5">
        <f t="shared" si="9"/>
        <v>302734.15400709183</v>
      </c>
      <c r="G28" s="5">
        <f t="shared" si="9"/>
        <v>294598.07013535389</v>
      </c>
      <c r="H28" s="5">
        <f t="shared" si="9"/>
        <v>285276.65416221577</v>
      </c>
      <c r="I28" s="5">
        <f t="shared" si="9"/>
        <v>278907.52122259949</v>
      </c>
      <c r="J28" s="5">
        <f t="shared" si="9"/>
        <v>273289.15818638552</v>
      </c>
      <c r="K28" s="5">
        <f t="shared" si="9"/>
        <v>266228.74426873296</v>
      </c>
      <c r="L28" s="5">
        <f t="shared" si="9"/>
        <v>261890.07230730075</v>
      </c>
      <c r="M28" s="5">
        <f t="shared" si="9"/>
        <v>258095.13736221206</v>
      </c>
      <c r="N28" s="5">
        <f t="shared" si="9"/>
        <v>252672.22957264111</v>
      </c>
      <c r="O28" s="5">
        <f t="shared" si="9"/>
        <v>249804.09991356611</v>
      </c>
      <c r="P28" s="5">
        <f t="shared" si="9"/>
        <v>247329.76834073372</v>
      </c>
      <c r="Q28" s="4">
        <f>D28</f>
        <v>322064</v>
      </c>
    </row>
    <row r="29" spans="2:17" ht="18" customHeight="1" x14ac:dyDescent="0.3">
      <c r="B29" s="11" t="s">
        <v>104</v>
      </c>
      <c r="C29" s="1"/>
      <c r="D29" s="4">
        <f t="shared" ref="D29:P29" si="10">D28+D27</f>
        <v>311906.87694444018</v>
      </c>
      <c r="E29" s="4">
        <f t="shared" si="10"/>
        <v>302734.15400709183</v>
      </c>
      <c r="F29" s="4">
        <f t="shared" si="10"/>
        <v>294598.07013535389</v>
      </c>
      <c r="G29" s="4">
        <f t="shared" si="10"/>
        <v>285276.65416221577</v>
      </c>
      <c r="H29" s="4">
        <f t="shared" si="10"/>
        <v>278907.52122259949</v>
      </c>
      <c r="I29" s="4">
        <f t="shared" si="10"/>
        <v>273289.15818638552</v>
      </c>
      <c r="J29" s="4">
        <f t="shared" si="10"/>
        <v>266228.74426873296</v>
      </c>
      <c r="K29" s="4">
        <f t="shared" si="10"/>
        <v>261890.07230730075</v>
      </c>
      <c r="L29" s="4">
        <f t="shared" si="10"/>
        <v>258095.13736221206</v>
      </c>
      <c r="M29" s="4">
        <f t="shared" si="10"/>
        <v>252672.22957264111</v>
      </c>
      <c r="N29" s="4">
        <f t="shared" si="10"/>
        <v>249804.09991356611</v>
      </c>
      <c r="O29" s="4">
        <f t="shared" si="10"/>
        <v>247329.76834073372</v>
      </c>
      <c r="P29" s="4">
        <f t="shared" si="10"/>
        <v>243092.81380100502</v>
      </c>
      <c r="Q29" s="4">
        <f>P29</f>
        <v>243092.81380100502</v>
      </c>
    </row>
    <row r="30" spans="2:17" ht="18" customHeight="1" x14ac:dyDescent="0.3">
      <c r="B30" s="11" t="s">
        <v>149</v>
      </c>
      <c r="C30" s="1">
        <v>15000</v>
      </c>
      <c r="D30" s="42">
        <v>15000</v>
      </c>
      <c r="E30" s="42">
        <v>15000</v>
      </c>
      <c r="F30" s="42">
        <v>15000</v>
      </c>
      <c r="G30" s="42">
        <v>15000</v>
      </c>
      <c r="H30" s="42">
        <v>15000</v>
      </c>
      <c r="I30" s="42">
        <v>15000</v>
      </c>
      <c r="J30" s="42">
        <v>15000</v>
      </c>
      <c r="K30" s="42">
        <v>15000</v>
      </c>
      <c r="L30" s="42">
        <v>15000</v>
      </c>
      <c r="M30" s="42">
        <v>15000</v>
      </c>
      <c r="N30" s="42">
        <v>15000</v>
      </c>
      <c r="O30" s="42">
        <v>15000</v>
      </c>
      <c r="P30" s="42">
        <v>15000</v>
      </c>
      <c r="Q30" s="17"/>
    </row>
    <row r="31" spans="2:17" ht="18" customHeight="1" x14ac:dyDescent="0.3">
      <c r="B31" s="11" t="s">
        <v>150</v>
      </c>
      <c r="C31" s="1"/>
      <c r="D31" s="4">
        <f t="shared" ref="D31:P31" si="11">D29-D30</f>
        <v>296906.87694444018</v>
      </c>
      <c r="E31" s="4">
        <f t="shared" si="11"/>
        <v>287734.15400709183</v>
      </c>
      <c r="F31" s="4">
        <f t="shared" si="11"/>
        <v>279598.07013535389</v>
      </c>
      <c r="G31" s="4">
        <f t="shared" si="11"/>
        <v>270276.65416221577</v>
      </c>
      <c r="H31" s="4">
        <f t="shared" si="11"/>
        <v>263907.52122259949</v>
      </c>
      <c r="I31" s="4">
        <f t="shared" si="11"/>
        <v>258289.15818638552</v>
      </c>
      <c r="J31" s="4">
        <f t="shared" si="11"/>
        <v>251228.74426873296</v>
      </c>
      <c r="K31" s="4">
        <f t="shared" si="11"/>
        <v>246890.07230730075</v>
      </c>
      <c r="L31" s="4">
        <f t="shared" si="11"/>
        <v>243095.13736221206</v>
      </c>
      <c r="M31" s="4">
        <f t="shared" si="11"/>
        <v>237672.22957264111</v>
      </c>
      <c r="N31" s="4">
        <f t="shared" si="11"/>
        <v>234804.09991356611</v>
      </c>
      <c r="O31" s="4">
        <f t="shared" si="11"/>
        <v>232329.76834073372</v>
      </c>
      <c r="P31" s="4">
        <f t="shared" si="11"/>
        <v>228092.81380100502</v>
      </c>
      <c r="Q31" s="4">
        <f>P31</f>
        <v>228092.81380100502</v>
      </c>
    </row>
  </sheetData>
  <mergeCells count="2">
    <mergeCell ref="B2:Q2"/>
    <mergeCell ref="B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31"/>
  <sheetViews>
    <sheetView zoomScaleNormal="100" workbookViewId="0">
      <pane xSplit="3" topLeftCell="I1" activePane="topRight" state="frozen"/>
      <selection pane="topRight" activeCell="B3" sqref="B3:Q3"/>
    </sheetView>
  </sheetViews>
  <sheetFormatPr defaultColWidth="8.7109375" defaultRowHeight="16.5" x14ac:dyDescent="0.3"/>
  <cols>
    <col min="1" max="1" width="3" style="10" customWidth="1"/>
    <col min="2" max="2" width="34" style="10" customWidth="1"/>
    <col min="3" max="3" width="14" style="10" customWidth="1"/>
    <col min="4" max="16" width="13" style="10" customWidth="1"/>
    <col min="17" max="17" width="14" style="10" customWidth="1"/>
    <col min="18" max="18" width="22" customWidth="1"/>
    <col min="19" max="16384" width="8.7109375" style="10"/>
  </cols>
  <sheetData>
    <row r="1" spans="2:17" ht="7.5" customHeight="1" x14ac:dyDescent="0.3"/>
    <row r="2" spans="2:17" ht="36" customHeight="1" x14ac:dyDescent="0.3">
      <c r="B2" s="77" t="s">
        <v>176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7" ht="18" customHeight="1" x14ac:dyDescent="0.3">
      <c r="B3" s="78" t="s">
        <v>172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</row>
    <row r="4" spans="2:17" ht="30" customHeight="1" thickBot="1" x14ac:dyDescent="0.35">
      <c r="B4" s="58"/>
      <c r="C4" s="58" t="s">
        <v>112</v>
      </c>
      <c r="D4" s="59" t="s">
        <v>113</v>
      </c>
      <c r="E4" s="59" t="s">
        <v>114</v>
      </c>
      <c r="F4" s="59" t="s">
        <v>115</v>
      </c>
      <c r="G4" s="59" t="s">
        <v>116</v>
      </c>
      <c r="H4" s="59" t="s">
        <v>117</v>
      </c>
      <c r="I4" s="59" t="s">
        <v>118</v>
      </c>
      <c r="J4" s="59" t="s">
        <v>119</v>
      </c>
      <c r="K4" s="59" t="s">
        <v>120</v>
      </c>
      <c r="L4" s="59" t="s">
        <v>121</v>
      </c>
      <c r="M4" s="59" t="s">
        <v>122</v>
      </c>
      <c r="N4" s="59" t="s">
        <v>123</v>
      </c>
      <c r="O4" s="59" t="s">
        <v>124</v>
      </c>
      <c r="P4" s="59" t="s">
        <v>125</v>
      </c>
      <c r="Q4" s="59" t="s">
        <v>126</v>
      </c>
    </row>
    <row r="5" spans="2:17" ht="15" customHeight="1" thickTop="1" thickBot="1" x14ac:dyDescent="0.35">
      <c r="B5" s="60" t="s">
        <v>127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</row>
    <row r="6" spans="2:17" ht="15.75" customHeight="1" x14ac:dyDescent="0.3">
      <c r="B6" s="14" t="s">
        <v>128</v>
      </c>
      <c r="C6" s="1" t="s">
        <v>129</v>
      </c>
      <c r="D6" s="1">
        <f>'Base Case'!D6*0.92</f>
        <v>47045.756923076922</v>
      </c>
      <c r="E6" s="1">
        <f>'Base Case'!E6*0.92</f>
        <v>47045.756923076922</v>
      </c>
      <c r="F6" s="1">
        <f>'Base Case'!F6*0.92</f>
        <v>47045.756923076922</v>
      </c>
      <c r="G6" s="1">
        <f>'Base Case'!G6*0.92</f>
        <v>47045.756923076922</v>
      </c>
      <c r="H6" s="1">
        <f>'Base Case'!H6*0.92</f>
        <v>47045.756923076922</v>
      </c>
      <c r="I6" s="1">
        <f>'Base Case'!I6*0.92</f>
        <v>47045.756923076922</v>
      </c>
      <c r="J6" s="1">
        <f>'Base Case'!J6*0.92</f>
        <v>47045.756923076922</v>
      </c>
      <c r="K6" s="1">
        <f>'Base Case'!K6*0.92</f>
        <v>47045.756923076922</v>
      </c>
      <c r="L6" s="1">
        <f>'Base Case'!L6*0.92</f>
        <v>47045.756923076922</v>
      </c>
      <c r="M6" s="1">
        <f>'Base Case'!M6*0.92</f>
        <v>47045.756923076922</v>
      </c>
      <c r="N6" s="1">
        <f>'Base Case'!N6*0.92</f>
        <v>47045.756923076922</v>
      </c>
      <c r="O6" s="1">
        <f>'Base Case'!O6*0.92</f>
        <v>47045.756923076922</v>
      </c>
      <c r="P6" s="1">
        <f>'Base Case'!P6*0.92</f>
        <v>47045.756923076922</v>
      </c>
      <c r="Q6" s="1"/>
    </row>
    <row r="7" spans="2:17" ht="15.75" customHeight="1" x14ac:dyDescent="0.3">
      <c r="B7" s="14" t="s">
        <v>130</v>
      </c>
      <c r="C7" s="1" t="s">
        <v>129</v>
      </c>
      <c r="D7" s="1">
        <f>'Base Case'!D7+7</f>
        <v>60.684117004649679</v>
      </c>
      <c r="E7" s="1">
        <f>'Base Case'!E7+7</f>
        <v>60.684117004649679</v>
      </c>
      <c r="F7" s="1">
        <f>'Base Case'!F7+7</f>
        <v>60.684117004649679</v>
      </c>
      <c r="G7" s="1">
        <f>'Base Case'!G7+7</f>
        <v>60.684117004649679</v>
      </c>
      <c r="H7" s="1">
        <f>'Base Case'!H7+7</f>
        <v>60.684117004649679</v>
      </c>
      <c r="I7" s="1">
        <f>'Base Case'!I7+7</f>
        <v>60.684117004649679</v>
      </c>
      <c r="J7" s="1">
        <f>'Base Case'!J7+7</f>
        <v>60.684117004649679</v>
      </c>
      <c r="K7" s="1">
        <f>'Base Case'!K7+7</f>
        <v>60.684117004649679</v>
      </c>
      <c r="L7" s="1">
        <f>'Base Case'!L7+7</f>
        <v>60.684117004649679</v>
      </c>
      <c r="M7" s="1">
        <f>'Base Case'!M7+7</f>
        <v>60.684117004649679</v>
      </c>
      <c r="N7" s="1">
        <f>'Base Case'!N7+7</f>
        <v>60.684117004649679</v>
      </c>
      <c r="O7" s="1">
        <f>'Base Case'!O7+7</f>
        <v>60.684117004649679</v>
      </c>
      <c r="P7" s="1">
        <f>'Base Case'!P7+7</f>
        <v>60.684117004649679</v>
      </c>
      <c r="Q7" s="1"/>
    </row>
    <row r="8" spans="2:17" ht="15.75" customHeight="1" x14ac:dyDescent="0.3">
      <c r="B8" s="14" t="s">
        <v>131</v>
      </c>
      <c r="C8" s="1" t="s">
        <v>129</v>
      </c>
      <c r="D8" s="1">
        <f>'Base Case'!D8*1.1</f>
        <v>81.095792291812117</v>
      </c>
      <c r="E8" s="1">
        <f>'Base Case'!E8*1.1</f>
        <v>81.095792291812117</v>
      </c>
      <c r="F8" s="1">
        <f>'Base Case'!F8*1.1</f>
        <v>81.095792291812117</v>
      </c>
      <c r="G8" s="1">
        <f>'Base Case'!G8*1.1</f>
        <v>81.095792291812117</v>
      </c>
      <c r="H8" s="1">
        <f>'Base Case'!H8*1.1</f>
        <v>81.095792291812117</v>
      </c>
      <c r="I8" s="1">
        <f>'Base Case'!I8*1.1</f>
        <v>81.095792291812117</v>
      </c>
      <c r="J8" s="1">
        <f>'Base Case'!J8*1.1</f>
        <v>81.095792291812117</v>
      </c>
      <c r="K8" s="1">
        <f>'Base Case'!K8*1.1</f>
        <v>81.095792291812117</v>
      </c>
      <c r="L8" s="1">
        <f>'Base Case'!L8*1.1</f>
        <v>81.095792291812117</v>
      </c>
      <c r="M8" s="1">
        <f>'Base Case'!M8*1.1</f>
        <v>81.095792291812117</v>
      </c>
      <c r="N8" s="1">
        <f>'Base Case'!N8*1.1</f>
        <v>81.095792291812117</v>
      </c>
      <c r="O8" s="1">
        <f>'Base Case'!O8*1.1</f>
        <v>81.095792291812117</v>
      </c>
      <c r="P8" s="1">
        <f>'Base Case'!P8*1.1</f>
        <v>81.095792291812117</v>
      </c>
      <c r="Q8" s="1"/>
    </row>
    <row r="9" spans="2:17" ht="15.75" customHeight="1" x14ac:dyDescent="0.3">
      <c r="B9" s="14" t="s">
        <v>132</v>
      </c>
      <c r="C9" s="1" t="s">
        <v>129</v>
      </c>
      <c r="D9" s="1">
        <f>'Base Case'!D9</f>
        <v>61.604570698572317</v>
      </c>
      <c r="E9" s="1">
        <f>'Base Case'!E9</f>
        <v>61.604570698572317</v>
      </c>
      <c r="F9" s="1">
        <f>'Base Case'!F9</f>
        <v>61.604570698572317</v>
      </c>
      <c r="G9" s="1">
        <f>'Base Case'!G9</f>
        <v>61.604570698572317</v>
      </c>
      <c r="H9" s="1">
        <f>'Base Case'!H9</f>
        <v>61.604570698572317</v>
      </c>
      <c r="I9" s="1">
        <f>'Base Case'!I9</f>
        <v>61.604570698572317</v>
      </c>
      <c r="J9" s="1">
        <f>'Base Case'!J9</f>
        <v>61.604570698572317</v>
      </c>
      <c r="K9" s="1">
        <f>'Base Case'!K9</f>
        <v>61.604570698572317</v>
      </c>
      <c r="L9" s="1">
        <f>'Base Case'!L9</f>
        <v>61.604570698572317</v>
      </c>
      <c r="M9" s="1">
        <f>'Base Case'!M9</f>
        <v>61.604570698572317</v>
      </c>
      <c r="N9" s="1">
        <f>'Base Case'!N9</f>
        <v>61.604570698572317</v>
      </c>
      <c r="O9" s="1">
        <f>'Base Case'!O9</f>
        <v>61.604570698572317</v>
      </c>
      <c r="P9" s="1">
        <f>'Base Case'!P9</f>
        <v>61.604570698572317</v>
      </c>
      <c r="Q9" s="1"/>
    </row>
    <row r="10" spans="2:17" ht="15.75" customHeight="1" thickBot="1" x14ac:dyDescent="0.35">
      <c r="B10" s="14" t="s">
        <v>109</v>
      </c>
      <c r="C10" s="1" t="s">
        <v>129</v>
      </c>
      <c r="D10" s="1">
        <f>'Base Case'!D10*0.7</f>
        <v>518.86153846153843</v>
      </c>
      <c r="E10" s="1">
        <f>'Base Case'!E10*0.7</f>
        <v>518.86153846153843</v>
      </c>
      <c r="F10" s="1">
        <f>'Base Case'!F10*0.7</f>
        <v>518.86153846153843</v>
      </c>
      <c r="G10" s="1">
        <f>'Base Case'!G10*0.7</f>
        <v>518.86153846153843</v>
      </c>
      <c r="H10" s="1">
        <f>'Base Case'!H10*0.7</f>
        <v>518.86153846153843</v>
      </c>
      <c r="I10" s="1">
        <f>'Base Case'!I10*0.7</f>
        <v>518.86153846153843</v>
      </c>
      <c r="J10" s="1">
        <f>'Base Case'!J10*0.7</f>
        <v>518.86153846153843</v>
      </c>
      <c r="K10" s="1">
        <f>'Base Case'!K10*0.7</f>
        <v>518.86153846153843</v>
      </c>
      <c r="L10" s="1">
        <f>'Base Case'!L10*0.7</f>
        <v>518.86153846153843</v>
      </c>
      <c r="M10" s="1">
        <f>'Base Case'!M10*0.7</f>
        <v>518.86153846153843</v>
      </c>
      <c r="N10" s="1">
        <f>'Base Case'!N10*0.7</f>
        <v>518.86153846153843</v>
      </c>
      <c r="O10" s="1">
        <f>'Base Case'!O10*0.7</f>
        <v>518.86153846153843</v>
      </c>
      <c r="P10" s="1">
        <f>'Base Case'!P10*0.7</f>
        <v>518.86153846153843</v>
      </c>
      <c r="Q10" s="1"/>
    </row>
    <row r="11" spans="2:17" ht="18" customHeight="1" thickTop="1" thickBot="1" x14ac:dyDescent="0.35">
      <c r="B11" s="60" t="s">
        <v>133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</row>
    <row r="12" spans="2:17" ht="15.75" customHeight="1" x14ac:dyDescent="0.3">
      <c r="B12" s="14" t="s">
        <v>134</v>
      </c>
      <c r="C12" s="1" t="s">
        <v>129</v>
      </c>
      <c r="D12" s="5">
        <f t="shared" ref="D12:P12" si="0">IF(D7=0,0,C13/D7*7)</f>
        <v>45114.061720470192</v>
      </c>
      <c r="E12" s="5">
        <f t="shared" si="0"/>
        <v>45336.885534767614</v>
      </c>
      <c r="F12" s="5">
        <f t="shared" si="0"/>
        <v>45534.006302253583</v>
      </c>
      <c r="G12" s="5">
        <f t="shared" si="0"/>
        <v>45708.388906270913</v>
      </c>
      <c r="H12" s="5">
        <f t="shared" si="0"/>
        <v>45862.656226613151</v>
      </c>
      <c r="I12" s="5">
        <f t="shared" si="0"/>
        <v>45999.128590124878</v>
      </c>
      <c r="J12" s="5">
        <f t="shared" si="0"/>
        <v>46119.85867061864</v>
      </c>
      <c r="K12" s="5">
        <f t="shared" si="0"/>
        <v>46226.662363036405</v>
      </c>
      <c r="L12" s="5">
        <f t="shared" si="0"/>
        <v>46321.1460962321</v>
      </c>
      <c r="M12" s="5">
        <f t="shared" si="0"/>
        <v>46404.730995185557</v>
      </c>
      <c r="N12" s="5">
        <f t="shared" si="0"/>
        <v>46478.674256070371</v>
      </c>
      <c r="O12" s="5">
        <f t="shared" si="0"/>
        <v>46544.088055676977</v>
      </c>
      <c r="P12" s="5">
        <f t="shared" si="0"/>
        <v>46601.956279606653</v>
      </c>
      <c r="Q12" s="4">
        <f>SUM(D12:P12)</f>
        <v>598252.24399692705</v>
      </c>
    </row>
    <row r="13" spans="2:17" ht="15.75" customHeight="1" x14ac:dyDescent="0.3">
      <c r="B13" s="14" t="s">
        <v>135</v>
      </c>
      <c r="C13" s="1">
        <f>'Financial Statements'!F34</f>
        <v>391101</v>
      </c>
      <c r="D13" s="5">
        <f t="shared" ref="D13:P13" si="1">C13+D6-D12</f>
        <v>393032.69520260673</v>
      </c>
      <c r="E13" s="5">
        <f t="shared" si="1"/>
        <v>394741.56659091602</v>
      </c>
      <c r="F13" s="5">
        <f t="shared" si="1"/>
        <v>396253.31721173937</v>
      </c>
      <c r="G13" s="5">
        <f t="shared" si="1"/>
        <v>397590.68522854539</v>
      </c>
      <c r="H13" s="5">
        <f t="shared" si="1"/>
        <v>398773.78592500917</v>
      </c>
      <c r="I13" s="5">
        <f t="shared" si="1"/>
        <v>399820.41425796121</v>
      </c>
      <c r="J13" s="5">
        <f t="shared" si="1"/>
        <v>400746.31251041952</v>
      </c>
      <c r="K13" s="5">
        <f t="shared" si="1"/>
        <v>401565.40707046003</v>
      </c>
      <c r="L13" s="5">
        <f t="shared" si="1"/>
        <v>402290.01789730485</v>
      </c>
      <c r="M13" s="5">
        <f t="shared" si="1"/>
        <v>402931.04382519622</v>
      </c>
      <c r="N13" s="5">
        <f t="shared" si="1"/>
        <v>403498.12649220275</v>
      </c>
      <c r="O13" s="5">
        <f t="shared" si="1"/>
        <v>403999.79535960272</v>
      </c>
      <c r="P13" s="5">
        <f t="shared" si="1"/>
        <v>404443.59600307298</v>
      </c>
      <c r="Q13" s="42">
        <f>P13</f>
        <v>404443.59600307298</v>
      </c>
    </row>
    <row r="14" spans="2:17" ht="15.75" customHeight="1" x14ac:dyDescent="0.3">
      <c r="C14" s="1"/>
    </row>
    <row r="15" spans="2:17" ht="18" customHeight="1" thickBot="1" x14ac:dyDescent="0.35">
      <c r="B15" s="2" t="s">
        <v>136</v>
      </c>
      <c r="C15" s="1" t="s">
        <v>129</v>
      </c>
      <c r="D15" s="3">
        <f t="shared" ref="D15:P15" si="2">D12</f>
        <v>45114.061720470192</v>
      </c>
      <c r="E15" s="3">
        <f t="shared" si="2"/>
        <v>45336.885534767614</v>
      </c>
      <c r="F15" s="3">
        <f t="shared" si="2"/>
        <v>45534.006302253583</v>
      </c>
      <c r="G15" s="3">
        <f t="shared" si="2"/>
        <v>45708.388906270913</v>
      </c>
      <c r="H15" s="3">
        <f t="shared" si="2"/>
        <v>45862.656226613151</v>
      </c>
      <c r="I15" s="3">
        <f t="shared" si="2"/>
        <v>45999.128590124878</v>
      </c>
      <c r="J15" s="3">
        <f t="shared" si="2"/>
        <v>46119.85867061864</v>
      </c>
      <c r="K15" s="3">
        <f t="shared" si="2"/>
        <v>46226.662363036405</v>
      </c>
      <c r="L15" s="3">
        <f t="shared" si="2"/>
        <v>46321.1460962321</v>
      </c>
      <c r="M15" s="3">
        <f t="shared" si="2"/>
        <v>46404.730995185557</v>
      </c>
      <c r="N15" s="3">
        <f t="shared" si="2"/>
        <v>46478.674256070371</v>
      </c>
      <c r="O15" s="3">
        <f t="shared" si="2"/>
        <v>46544.088055676977</v>
      </c>
      <c r="P15" s="3">
        <f t="shared" si="2"/>
        <v>46601.956279606653</v>
      </c>
      <c r="Q15" s="3">
        <f>SUM(D15:P15)</f>
        <v>598252.24399692705</v>
      </c>
    </row>
    <row r="16" spans="2:17" ht="18" customHeight="1" thickTop="1" thickBot="1" x14ac:dyDescent="0.35">
      <c r="B16" s="60" t="s">
        <v>137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</row>
    <row r="17" spans="2:17" ht="15.75" customHeight="1" x14ac:dyDescent="0.3">
      <c r="B17" s="14" t="s">
        <v>138</v>
      </c>
      <c r="C17" s="1">
        <f>'Financial Statements'!F36</f>
        <v>482544</v>
      </c>
      <c r="D17" s="5">
        <f>(D6*'Financial Statements'!$F$96)/7*D8</f>
        <v>489676.10637362633</v>
      </c>
      <c r="E17" s="5">
        <f>(E6*'Financial Statements'!$F$96)/7*E8</f>
        <v>489676.10637362633</v>
      </c>
      <c r="F17" s="5">
        <f>(F6*'Financial Statements'!$F$96)/7*F8</f>
        <v>489676.10637362633</v>
      </c>
      <c r="G17" s="5">
        <f>(G6*'Financial Statements'!$F$96)/7*G8</f>
        <v>489676.10637362633</v>
      </c>
      <c r="H17" s="5">
        <f>(H6*'Financial Statements'!$F$96)/7*H8</f>
        <v>489676.10637362633</v>
      </c>
      <c r="I17" s="5">
        <f>(I6*'Financial Statements'!$F$96)/7*I8</f>
        <v>489676.10637362633</v>
      </c>
      <c r="J17" s="5">
        <f>(J6*'Financial Statements'!$F$96)/7*J8</f>
        <v>489676.10637362633</v>
      </c>
      <c r="K17" s="5">
        <f>(K6*'Financial Statements'!$F$96)/7*K8</f>
        <v>489676.10637362633</v>
      </c>
      <c r="L17" s="5">
        <f>(L6*'Financial Statements'!$F$96)/7*L8</f>
        <v>489676.10637362633</v>
      </c>
      <c r="M17" s="5">
        <f>(M6*'Financial Statements'!$F$96)/7*M8</f>
        <v>489676.10637362633</v>
      </c>
      <c r="N17" s="5">
        <f>(N6*'Financial Statements'!$F$96)/7*N8</f>
        <v>489676.10637362633</v>
      </c>
      <c r="O17" s="5">
        <f>(O6*'Financial Statements'!$F$96)/7*O8</f>
        <v>489676.10637362633</v>
      </c>
      <c r="P17" s="5">
        <f>(P6*'Financial Statements'!$F$96)/7*P8</f>
        <v>489676.10637362633</v>
      </c>
      <c r="Q17" s="5">
        <f>P17</f>
        <v>489676.10637362633</v>
      </c>
    </row>
    <row r="18" spans="2:17" ht="15.75" customHeight="1" x14ac:dyDescent="0.3">
      <c r="B18" s="14" t="s">
        <v>139</v>
      </c>
      <c r="C18" s="1" t="s">
        <v>129</v>
      </c>
      <c r="D18" s="5">
        <f>(D6*'Financial Statements'!$F$96)+D17-C17</f>
        <v>49399.807912087883</v>
      </c>
      <c r="E18" s="5">
        <f>(E6*'Financial Statements'!$F$96)+E17-D17</f>
        <v>42267.701538461552</v>
      </c>
      <c r="F18" s="5">
        <f>(F6*'Financial Statements'!$F$96)+F17-E17</f>
        <v>42267.701538461552</v>
      </c>
      <c r="G18" s="5">
        <f>(G6*'Financial Statements'!$F$96)+G17-F17</f>
        <v>42267.701538461552</v>
      </c>
      <c r="H18" s="5">
        <f>(H6*'Financial Statements'!$F$96)+H17-G17</f>
        <v>42267.701538461552</v>
      </c>
      <c r="I18" s="5">
        <f>(I6*'Financial Statements'!$F$96)+I17-H17</f>
        <v>42267.701538461552</v>
      </c>
      <c r="J18" s="5">
        <f>(J6*'Financial Statements'!$F$96)+J17-I17</f>
        <v>42267.701538461552</v>
      </c>
      <c r="K18" s="5">
        <f>(K6*'Financial Statements'!$F$96)+K17-J17</f>
        <v>42267.701538461552</v>
      </c>
      <c r="L18" s="5">
        <f>(L6*'Financial Statements'!$F$96)+L17-K17</f>
        <v>42267.701538461552</v>
      </c>
      <c r="M18" s="5">
        <f>(M6*'Financial Statements'!$F$96)+M17-L17</f>
        <v>42267.701538461552</v>
      </c>
      <c r="N18" s="5">
        <f>(N6*'Financial Statements'!$F$96)+N17-M17</f>
        <v>42267.701538461552</v>
      </c>
      <c r="O18" s="5">
        <f>(O6*'Financial Statements'!$F$96)+O17-N17</f>
        <v>42267.701538461552</v>
      </c>
      <c r="P18" s="5">
        <f>(P6*'Financial Statements'!$F$96)+P17-O17</f>
        <v>42267.701538461552</v>
      </c>
      <c r="Q18" s="5">
        <f>SUM(D18:P18)</f>
        <v>556612.2263736265</v>
      </c>
    </row>
    <row r="19" spans="2:17" ht="15.75" customHeight="1" x14ac:dyDescent="0.3">
      <c r="B19" s="14" t="s">
        <v>140</v>
      </c>
      <c r="C19" s="1">
        <f>'Financial Statements'!F48</f>
        <v>403222</v>
      </c>
      <c r="D19" s="5">
        <f t="shared" ref="D19:P19" si="3">C19+D18-D20</f>
        <v>406804.52572030708</v>
      </c>
      <c r="E19" s="5">
        <f t="shared" si="3"/>
        <v>402847.87007632107</v>
      </c>
      <c r="F19" s="5">
        <f t="shared" si="3"/>
        <v>399340.80103270954</v>
      </c>
      <c r="G19" s="5">
        <f t="shared" si="3"/>
        <v>396232.23299359978</v>
      </c>
      <c r="H19" s="5">
        <f t="shared" si="3"/>
        <v>393476.88511375774</v>
      </c>
      <c r="I19" s="5">
        <f t="shared" si="3"/>
        <v>391034.62171677442</v>
      </c>
      <c r="J19" s="5">
        <f t="shared" si="3"/>
        <v>388869.86766016996</v>
      </c>
      <c r="K19" s="5">
        <f t="shared" si="3"/>
        <v>386951.09013135225</v>
      </c>
      <c r="L19" s="5">
        <f t="shared" si="3"/>
        <v>385250.33932602953</v>
      </c>
      <c r="M19" s="5">
        <f t="shared" si="3"/>
        <v>383742.84131838492</v>
      </c>
      <c r="N19" s="5">
        <f t="shared" si="3"/>
        <v>382406.63719257165</v>
      </c>
      <c r="O19" s="5">
        <f t="shared" si="3"/>
        <v>381222.26317895023</v>
      </c>
      <c r="P19" s="5">
        <f t="shared" si="3"/>
        <v>380172.46713578358</v>
      </c>
      <c r="Q19" s="5">
        <f>P19</f>
        <v>380172.46713578358</v>
      </c>
    </row>
    <row r="20" spans="2:17" ht="15.75" customHeight="1" x14ac:dyDescent="0.3">
      <c r="B20" s="14" t="s">
        <v>141</v>
      </c>
      <c r="C20" s="1" t="s">
        <v>129</v>
      </c>
      <c r="D20" s="5">
        <f t="shared" ref="D20:P20" si="4">C19/D9*7</f>
        <v>45817.282191780818</v>
      </c>
      <c r="E20" s="5">
        <f t="shared" si="4"/>
        <v>46224.357182447558</v>
      </c>
      <c r="F20" s="5">
        <f t="shared" si="4"/>
        <v>45774.770582073048</v>
      </c>
      <c r="G20" s="5">
        <f t="shared" si="4"/>
        <v>45376.269577571293</v>
      </c>
      <c r="H20" s="5">
        <f t="shared" si="4"/>
        <v>45023.049418303584</v>
      </c>
      <c r="I20" s="5">
        <f t="shared" si="4"/>
        <v>44709.964935444892</v>
      </c>
      <c r="J20" s="5">
        <f t="shared" si="4"/>
        <v>44432.455595066043</v>
      </c>
      <c r="K20" s="5">
        <f t="shared" si="4"/>
        <v>44186.479067279237</v>
      </c>
      <c r="L20" s="5">
        <f t="shared" si="4"/>
        <v>43968.452343784273</v>
      </c>
      <c r="M20" s="5">
        <f t="shared" si="4"/>
        <v>43775.199546106145</v>
      </c>
      <c r="N20" s="5">
        <f t="shared" si="4"/>
        <v>43603.905664274796</v>
      </c>
      <c r="O20" s="5">
        <f t="shared" si="4"/>
        <v>43452.075552082977</v>
      </c>
      <c r="P20" s="5">
        <f t="shared" si="4"/>
        <v>43317.497581628224</v>
      </c>
      <c r="Q20" s="5">
        <f t="shared" ref="Q20:Q25" si="5">SUM(D20:P20)</f>
        <v>579661.75923784298</v>
      </c>
    </row>
    <row r="21" spans="2:17" ht="15.75" customHeight="1" x14ac:dyDescent="0.3">
      <c r="B21" s="14" t="s">
        <v>142</v>
      </c>
      <c r="C21" s="1" t="s">
        <v>129</v>
      </c>
      <c r="D21" s="5">
        <f>D6*'Financial Statements'!$F$102</f>
        <v>2824.7184615384613</v>
      </c>
      <c r="E21" s="5">
        <f>E6*'Financial Statements'!$F$102</f>
        <v>2824.7184615384613</v>
      </c>
      <c r="F21" s="5">
        <f>F6*'Financial Statements'!$F$102</f>
        <v>2824.7184615384613</v>
      </c>
      <c r="G21" s="5">
        <f>G6*'Financial Statements'!$F$102</f>
        <v>2824.7184615384613</v>
      </c>
      <c r="H21" s="5">
        <f>H6*'Financial Statements'!$F$102</f>
        <v>2824.7184615384613</v>
      </c>
      <c r="I21" s="5">
        <f>I6*'Financial Statements'!$F$102</f>
        <v>2824.7184615384613</v>
      </c>
      <c r="J21" s="5">
        <f>J6*'Financial Statements'!$F$102</f>
        <v>2824.7184615384613</v>
      </c>
      <c r="K21" s="5">
        <f>K6*'Financial Statements'!$F$102</f>
        <v>2824.7184615384613</v>
      </c>
      <c r="L21" s="5">
        <f>L6*'Financial Statements'!$F$102</f>
        <v>2824.7184615384613</v>
      </c>
      <c r="M21" s="5">
        <f>M6*'Financial Statements'!$F$102</f>
        <v>2824.7184615384613</v>
      </c>
      <c r="N21" s="5">
        <f>N6*'Financial Statements'!$F$102</f>
        <v>2824.7184615384613</v>
      </c>
      <c r="O21" s="5">
        <f>O6*'Financial Statements'!$F$102</f>
        <v>2824.7184615384613</v>
      </c>
      <c r="P21" s="5">
        <f>P6*'Financial Statements'!$F$102</f>
        <v>2824.7184615384613</v>
      </c>
      <c r="Q21" s="5">
        <f t="shared" si="5"/>
        <v>36721.339999999997</v>
      </c>
    </row>
    <row r="22" spans="2:17" ht="15.75" customHeight="1" x14ac:dyDescent="0.3">
      <c r="B22" s="14" t="s">
        <v>33</v>
      </c>
      <c r="C22" s="1" t="s">
        <v>129</v>
      </c>
      <c r="D22" s="1">
        <f>'Financial Statements'!$F$100</f>
        <v>387.65384615384613</v>
      </c>
      <c r="E22" s="1">
        <f>'Financial Statements'!$F$100</f>
        <v>387.65384615384613</v>
      </c>
      <c r="F22" s="1">
        <f>'Financial Statements'!$F$100</f>
        <v>387.65384615384613</v>
      </c>
      <c r="G22" s="1">
        <f>'Financial Statements'!$F$100</f>
        <v>387.65384615384613</v>
      </c>
      <c r="H22" s="1">
        <f>'Financial Statements'!$F$100</f>
        <v>387.65384615384613</v>
      </c>
      <c r="I22" s="1">
        <f>'Financial Statements'!$F$100</f>
        <v>387.65384615384613</v>
      </c>
      <c r="J22" s="1">
        <f>'Financial Statements'!$F$100</f>
        <v>387.65384615384613</v>
      </c>
      <c r="K22" s="1">
        <f>'Financial Statements'!$F$100</f>
        <v>387.65384615384613</v>
      </c>
      <c r="L22" s="1">
        <f>'Financial Statements'!$F$100</f>
        <v>387.65384615384613</v>
      </c>
      <c r="M22" s="1">
        <f>'Financial Statements'!$F$100</f>
        <v>387.65384615384613</v>
      </c>
      <c r="N22" s="1">
        <f>'Financial Statements'!$F$100</f>
        <v>387.65384615384613</v>
      </c>
      <c r="O22" s="1">
        <f>'Financial Statements'!$F$100</f>
        <v>387.65384615384613</v>
      </c>
      <c r="P22" s="1">
        <f>'Financial Statements'!$F$100</f>
        <v>387.65384615384613</v>
      </c>
      <c r="Q22" s="1">
        <f t="shared" si="5"/>
        <v>5039.4999999999991</v>
      </c>
    </row>
    <row r="23" spans="2:17" ht="15.75" customHeight="1" x14ac:dyDescent="0.3">
      <c r="B23" s="14" t="s">
        <v>143</v>
      </c>
      <c r="C23" s="1" t="s">
        <v>129</v>
      </c>
      <c r="D23" s="1">
        <v>0</v>
      </c>
      <c r="E23" s="1">
        <v>0</v>
      </c>
      <c r="F23" s="1">
        <v>0</v>
      </c>
      <c r="G23" s="1">
        <f>'Financial Statements'!$F$20/52*3</f>
        <v>2116.2692307692305</v>
      </c>
      <c r="H23" s="1">
        <v>0</v>
      </c>
      <c r="I23" s="1">
        <v>0</v>
      </c>
      <c r="J23" s="1">
        <f>'Financial Statements'!$F$20/52*3</f>
        <v>2116.2692307692305</v>
      </c>
      <c r="K23" s="1">
        <v>0</v>
      </c>
      <c r="L23" s="1">
        <v>0</v>
      </c>
      <c r="M23" s="1">
        <f>'Financial Statements'!$F$20/52*3</f>
        <v>2116.2692307692305</v>
      </c>
      <c r="N23" s="1">
        <v>0</v>
      </c>
      <c r="O23" s="1">
        <v>0</v>
      </c>
      <c r="P23" s="1">
        <f>'Financial Statements'!$F$20/52*3</f>
        <v>2116.2692307692305</v>
      </c>
      <c r="Q23" s="1">
        <f t="shared" si="5"/>
        <v>8465.076923076922</v>
      </c>
    </row>
    <row r="24" spans="2:17" ht="15.75" customHeight="1" x14ac:dyDescent="0.3">
      <c r="B24" s="14" t="s">
        <v>144</v>
      </c>
      <c r="C24" s="1" t="s">
        <v>129</v>
      </c>
      <c r="D24" s="1">
        <f>D10</f>
        <v>518.86153846153843</v>
      </c>
      <c r="E24" s="1">
        <f t="shared" ref="E24:P24" si="6">E10</f>
        <v>518.86153846153843</v>
      </c>
      <c r="F24" s="1">
        <f t="shared" si="6"/>
        <v>518.86153846153843</v>
      </c>
      <c r="G24" s="1">
        <f t="shared" si="6"/>
        <v>518.86153846153843</v>
      </c>
      <c r="H24" s="1">
        <f t="shared" si="6"/>
        <v>518.86153846153843</v>
      </c>
      <c r="I24" s="1">
        <f t="shared" si="6"/>
        <v>518.86153846153843</v>
      </c>
      <c r="J24" s="1">
        <f t="shared" si="6"/>
        <v>518.86153846153843</v>
      </c>
      <c r="K24" s="1">
        <f t="shared" si="6"/>
        <v>518.86153846153843</v>
      </c>
      <c r="L24" s="1">
        <f t="shared" si="6"/>
        <v>518.86153846153843</v>
      </c>
      <c r="M24" s="1">
        <f t="shared" si="6"/>
        <v>518.86153846153843</v>
      </c>
      <c r="N24" s="1">
        <f t="shared" si="6"/>
        <v>518.86153846153843</v>
      </c>
      <c r="O24" s="1">
        <f t="shared" si="6"/>
        <v>518.86153846153843</v>
      </c>
      <c r="P24" s="1">
        <f t="shared" si="6"/>
        <v>518.86153846153843</v>
      </c>
      <c r="Q24" s="1">
        <f t="shared" si="5"/>
        <v>6745.2000000000016</v>
      </c>
    </row>
    <row r="25" spans="2:17" ht="18" customHeight="1" thickBot="1" x14ac:dyDescent="0.35">
      <c r="B25" s="62" t="s">
        <v>145</v>
      </c>
      <c r="C25" s="1" t="s">
        <v>129</v>
      </c>
      <c r="D25" s="63">
        <f t="shared" ref="D25:P25" si="7">D20+D21+D22+D23+D24</f>
        <v>49548.516037934663</v>
      </c>
      <c r="E25" s="63">
        <f t="shared" si="7"/>
        <v>49955.591028601404</v>
      </c>
      <c r="F25" s="63">
        <f t="shared" si="7"/>
        <v>49506.004428226894</v>
      </c>
      <c r="G25" s="63">
        <f t="shared" si="7"/>
        <v>51223.772654494373</v>
      </c>
      <c r="H25" s="63">
        <f t="shared" si="7"/>
        <v>48754.28326445743</v>
      </c>
      <c r="I25" s="63">
        <f t="shared" si="7"/>
        <v>48441.198781598738</v>
      </c>
      <c r="J25" s="63">
        <f t="shared" si="7"/>
        <v>50279.958671989123</v>
      </c>
      <c r="K25" s="63">
        <f t="shared" si="7"/>
        <v>47917.712913433083</v>
      </c>
      <c r="L25" s="63">
        <f t="shared" si="7"/>
        <v>47699.686189938118</v>
      </c>
      <c r="M25" s="63">
        <f t="shared" si="7"/>
        <v>49622.702623029225</v>
      </c>
      <c r="N25" s="63">
        <f t="shared" si="7"/>
        <v>47335.139510428642</v>
      </c>
      <c r="O25" s="63">
        <f t="shared" si="7"/>
        <v>47183.309398236823</v>
      </c>
      <c r="P25" s="63">
        <f t="shared" si="7"/>
        <v>49165.000658551304</v>
      </c>
      <c r="Q25" s="63">
        <f t="shared" si="5"/>
        <v>636632.8761609199</v>
      </c>
    </row>
    <row r="26" spans="2:17" ht="18" customHeight="1" thickTop="1" thickBot="1" x14ac:dyDescent="0.35">
      <c r="B26" s="60" t="s">
        <v>146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</row>
    <row r="27" spans="2:17" ht="18" customHeight="1" x14ac:dyDescent="0.3">
      <c r="B27" s="14" t="s">
        <v>147</v>
      </c>
      <c r="C27" s="1"/>
      <c r="D27" s="4">
        <f t="shared" ref="D27:P27" si="8">D15-D25</f>
        <v>-4434.4543174644714</v>
      </c>
      <c r="E27" s="4">
        <f t="shared" si="8"/>
        <v>-4618.7054938337897</v>
      </c>
      <c r="F27" s="4">
        <f t="shared" si="8"/>
        <v>-3971.9981259733104</v>
      </c>
      <c r="G27" s="4">
        <f t="shared" si="8"/>
        <v>-5515.3837482234594</v>
      </c>
      <c r="H27" s="4">
        <f t="shared" si="8"/>
        <v>-2891.6270378442787</v>
      </c>
      <c r="I27" s="4">
        <f t="shared" si="8"/>
        <v>-2442.0701914738602</v>
      </c>
      <c r="J27" s="4">
        <f t="shared" si="8"/>
        <v>-4160.1000013704834</v>
      </c>
      <c r="K27" s="4">
        <f t="shared" si="8"/>
        <v>-1691.0505503966779</v>
      </c>
      <c r="L27" s="4">
        <f t="shared" si="8"/>
        <v>-1378.5400937060185</v>
      </c>
      <c r="M27" s="4">
        <f t="shared" si="8"/>
        <v>-3217.9716278436681</v>
      </c>
      <c r="N27" s="4">
        <f t="shared" si="8"/>
        <v>-856.46525435827061</v>
      </c>
      <c r="O27" s="4">
        <f t="shared" si="8"/>
        <v>-639.22134255984565</v>
      </c>
      <c r="P27" s="4">
        <f t="shared" si="8"/>
        <v>-2563.0443789446508</v>
      </c>
      <c r="Q27" s="4">
        <f>SUM(D27:P27)</f>
        <v>-38380.632163992785</v>
      </c>
    </row>
    <row r="28" spans="2:17" ht="18" customHeight="1" x14ac:dyDescent="0.3">
      <c r="B28" s="14" t="s">
        <v>148</v>
      </c>
      <c r="C28" s="1">
        <f>'Financial Statements'!F32</f>
        <v>322064</v>
      </c>
      <c r="D28" s="5">
        <f>C28</f>
        <v>322064</v>
      </c>
      <c r="E28" s="5">
        <f t="shared" ref="E28:P28" si="9">D29</f>
        <v>317629.54568253551</v>
      </c>
      <c r="F28" s="5">
        <f t="shared" si="9"/>
        <v>313010.8401887017</v>
      </c>
      <c r="G28" s="5">
        <f t="shared" si="9"/>
        <v>309038.84206272836</v>
      </c>
      <c r="H28" s="5">
        <f t="shared" si="9"/>
        <v>303523.45831450488</v>
      </c>
      <c r="I28" s="5">
        <f t="shared" si="9"/>
        <v>300631.83127666061</v>
      </c>
      <c r="J28" s="5">
        <f t="shared" si="9"/>
        <v>298189.76108518674</v>
      </c>
      <c r="K28" s="5">
        <f t="shared" si="9"/>
        <v>294029.66108381626</v>
      </c>
      <c r="L28" s="5">
        <f t="shared" si="9"/>
        <v>292338.61053341959</v>
      </c>
      <c r="M28" s="5">
        <f t="shared" si="9"/>
        <v>290960.07043971354</v>
      </c>
      <c r="N28" s="5">
        <f t="shared" si="9"/>
        <v>287742.09881186986</v>
      </c>
      <c r="O28" s="5">
        <f t="shared" si="9"/>
        <v>286885.63355751161</v>
      </c>
      <c r="P28" s="5">
        <f t="shared" si="9"/>
        <v>286246.41221495176</v>
      </c>
      <c r="Q28" s="4">
        <f>D28</f>
        <v>322064</v>
      </c>
    </row>
    <row r="29" spans="2:17" ht="18" customHeight="1" x14ac:dyDescent="0.3">
      <c r="B29" s="11" t="s">
        <v>104</v>
      </c>
      <c r="C29" s="1"/>
      <c r="D29" s="4">
        <f t="shared" ref="D29:P29" si="10">D28+D27</f>
        <v>317629.54568253551</v>
      </c>
      <c r="E29" s="4">
        <f t="shared" si="10"/>
        <v>313010.8401887017</v>
      </c>
      <c r="F29" s="4">
        <f t="shared" si="10"/>
        <v>309038.84206272836</v>
      </c>
      <c r="G29" s="4">
        <f t="shared" si="10"/>
        <v>303523.45831450488</v>
      </c>
      <c r="H29" s="4">
        <f t="shared" si="10"/>
        <v>300631.83127666061</v>
      </c>
      <c r="I29" s="4">
        <f t="shared" si="10"/>
        <v>298189.76108518674</v>
      </c>
      <c r="J29" s="4">
        <f t="shared" si="10"/>
        <v>294029.66108381626</v>
      </c>
      <c r="K29" s="4">
        <f t="shared" si="10"/>
        <v>292338.61053341959</v>
      </c>
      <c r="L29" s="4">
        <f t="shared" si="10"/>
        <v>290960.07043971354</v>
      </c>
      <c r="M29" s="4">
        <f t="shared" si="10"/>
        <v>287742.09881186986</v>
      </c>
      <c r="N29" s="4">
        <f t="shared" si="10"/>
        <v>286885.63355751161</v>
      </c>
      <c r="O29" s="4">
        <f t="shared" si="10"/>
        <v>286246.41221495176</v>
      </c>
      <c r="P29" s="4">
        <f t="shared" si="10"/>
        <v>283683.36783600709</v>
      </c>
      <c r="Q29" s="4">
        <f>P29</f>
        <v>283683.36783600709</v>
      </c>
    </row>
    <row r="30" spans="2:17" ht="18" customHeight="1" x14ac:dyDescent="0.3">
      <c r="B30" s="11" t="s">
        <v>149</v>
      </c>
      <c r="C30" s="1">
        <v>15000</v>
      </c>
      <c r="D30" s="42">
        <v>15000</v>
      </c>
      <c r="E30" s="42">
        <v>15000</v>
      </c>
      <c r="F30" s="42">
        <v>15000</v>
      </c>
      <c r="G30" s="42">
        <v>15000</v>
      </c>
      <c r="H30" s="42">
        <v>15000</v>
      </c>
      <c r="I30" s="42">
        <v>15000</v>
      </c>
      <c r="J30" s="42">
        <v>15000</v>
      </c>
      <c r="K30" s="42">
        <v>15000</v>
      </c>
      <c r="L30" s="42">
        <v>15000</v>
      </c>
      <c r="M30" s="42">
        <v>15000</v>
      </c>
      <c r="N30" s="42">
        <v>15000</v>
      </c>
      <c r="O30" s="42">
        <v>15000</v>
      </c>
      <c r="P30" s="42">
        <v>15000</v>
      </c>
      <c r="Q30" s="17"/>
    </row>
    <row r="31" spans="2:17" ht="18" customHeight="1" x14ac:dyDescent="0.3">
      <c r="B31" s="11" t="s">
        <v>150</v>
      </c>
      <c r="C31" s="1"/>
      <c r="D31" s="4">
        <f t="shared" ref="D31:P31" si="11">D29-D30</f>
        <v>302629.54568253551</v>
      </c>
      <c r="E31" s="4">
        <f t="shared" si="11"/>
        <v>298010.8401887017</v>
      </c>
      <c r="F31" s="4">
        <f t="shared" si="11"/>
        <v>294038.84206272836</v>
      </c>
      <c r="G31" s="4">
        <f t="shared" si="11"/>
        <v>288523.45831450488</v>
      </c>
      <c r="H31" s="4">
        <f t="shared" si="11"/>
        <v>285631.83127666061</v>
      </c>
      <c r="I31" s="4">
        <f t="shared" si="11"/>
        <v>283189.76108518674</v>
      </c>
      <c r="J31" s="4">
        <f t="shared" si="11"/>
        <v>279029.66108381626</v>
      </c>
      <c r="K31" s="4">
        <f t="shared" si="11"/>
        <v>277338.61053341959</v>
      </c>
      <c r="L31" s="4">
        <f t="shared" si="11"/>
        <v>275960.07043971354</v>
      </c>
      <c r="M31" s="4">
        <f t="shared" si="11"/>
        <v>272742.09881186986</v>
      </c>
      <c r="N31" s="4">
        <f t="shared" si="11"/>
        <v>271885.63355751161</v>
      </c>
      <c r="O31" s="4">
        <f t="shared" si="11"/>
        <v>271246.41221495176</v>
      </c>
      <c r="P31" s="4">
        <f t="shared" si="11"/>
        <v>268683.36783600709</v>
      </c>
      <c r="Q31" s="4">
        <f>P31</f>
        <v>268683.36783600709</v>
      </c>
    </row>
  </sheetData>
  <mergeCells count="2">
    <mergeCell ref="B2:Q2"/>
    <mergeCell ref="B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31"/>
  <sheetViews>
    <sheetView tabSelected="1" zoomScaleNormal="100" workbookViewId="0">
      <pane xSplit="3" topLeftCell="I1" activePane="topRight" state="frozen"/>
      <selection pane="topRight" activeCell="B3" sqref="B3:Q3"/>
    </sheetView>
  </sheetViews>
  <sheetFormatPr defaultColWidth="8.7109375" defaultRowHeight="16.5" x14ac:dyDescent="0.3"/>
  <cols>
    <col min="1" max="1" width="3" style="10" customWidth="1"/>
    <col min="2" max="2" width="34" style="10" customWidth="1"/>
    <col min="3" max="3" width="14" style="10" customWidth="1"/>
    <col min="4" max="16" width="13" style="10" customWidth="1"/>
    <col min="17" max="17" width="14" style="10" customWidth="1"/>
    <col min="18" max="18" width="22" customWidth="1"/>
    <col min="19" max="16384" width="8.7109375" style="10"/>
  </cols>
  <sheetData>
    <row r="1" spans="2:17" ht="7.5" customHeight="1" x14ac:dyDescent="0.3"/>
    <row r="2" spans="2:17" ht="36" customHeight="1" x14ac:dyDescent="0.3">
      <c r="B2" s="77" t="s">
        <v>176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7" ht="18" customHeight="1" x14ac:dyDescent="0.3">
      <c r="B3" s="78" t="s">
        <v>174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</row>
    <row r="4" spans="2:17" ht="30" customHeight="1" thickBot="1" x14ac:dyDescent="0.35">
      <c r="B4" s="58"/>
      <c r="C4" s="58" t="s">
        <v>112</v>
      </c>
      <c r="D4" s="59" t="s">
        <v>113</v>
      </c>
      <c r="E4" s="59" t="s">
        <v>114</v>
      </c>
      <c r="F4" s="59" t="s">
        <v>115</v>
      </c>
      <c r="G4" s="59" t="s">
        <v>116</v>
      </c>
      <c r="H4" s="59" t="s">
        <v>117</v>
      </c>
      <c r="I4" s="59" t="s">
        <v>118</v>
      </c>
      <c r="J4" s="59" t="s">
        <v>119</v>
      </c>
      <c r="K4" s="59" t="s">
        <v>120</v>
      </c>
      <c r="L4" s="59" t="s">
        <v>121</v>
      </c>
      <c r="M4" s="59" t="s">
        <v>122</v>
      </c>
      <c r="N4" s="59" t="s">
        <v>123</v>
      </c>
      <c r="O4" s="59" t="s">
        <v>124</v>
      </c>
      <c r="P4" s="59" t="s">
        <v>125</v>
      </c>
      <c r="Q4" s="59" t="s">
        <v>126</v>
      </c>
    </row>
    <row r="5" spans="2:17" ht="15" customHeight="1" thickTop="1" thickBot="1" x14ac:dyDescent="0.35">
      <c r="B5" s="60" t="s">
        <v>127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</row>
    <row r="6" spans="2:17" ht="15.75" customHeight="1" x14ac:dyDescent="0.3">
      <c r="B6" s="14" t="s">
        <v>128</v>
      </c>
      <c r="C6" s="1" t="s">
        <v>129</v>
      </c>
      <c r="D6" s="1">
        <f>'Base Case'!D6</f>
        <v>51136.692307692305</v>
      </c>
      <c r="E6" s="1">
        <f>'Base Case'!E6</f>
        <v>51136.692307692305</v>
      </c>
      <c r="F6" s="1">
        <f>'Base Case'!F6</f>
        <v>51136.692307692305</v>
      </c>
      <c r="G6" s="1">
        <f>'Base Case'!G6</f>
        <v>51136.692307692305</v>
      </c>
      <c r="H6" s="1">
        <f>'Base Case'!H6</f>
        <v>51136.692307692305</v>
      </c>
      <c r="I6" s="1">
        <f>'Base Case'!I6</f>
        <v>51136.692307692305</v>
      </c>
      <c r="J6" s="1">
        <f>'Base Case'!J6</f>
        <v>51136.692307692305</v>
      </c>
      <c r="K6" s="1">
        <f>'Base Case'!K6</f>
        <v>51136.692307692305</v>
      </c>
      <c r="L6" s="1">
        <f>'Base Case'!L6</f>
        <v>51136.692307692305</v>
      </c>
      <c r="M6" s="1">
        <f>'Base Case'!M6</f>
        <v>51136.692307692305</v>
      </c>
      <c r="N6" s="1">
        <f>'Base Case'!N6</f>
        <v>51136.692307692305</v>
      </c>
      <c r="O6" s="1">
        <f>'Base Case'!O6</f>
        <v>51136.692307692305</v>
      </c>
      <c r="P6" s="1">
        <f>'Base Case'!P6</f>
        <v>51136.692307692305</v>
      </c>
      <c r="Q6" s="1"/>
    </row>
    <row r="7" spans="2:17" ht="15.75" customHeight="1" x14ac:dyDescent="0.3">
      <c r="B7" s="14" t="s">
        <v>130</v>
      </c>
      <c r="C7" s="1" t="s">
        <v>129</v>
      </c>
      <c r="D7" s="1">
        <f>'Base Case'!D7-8</f>
        <v>45.684117004649679</v>
      </c>
      <c r="E7" s="1">
        <f>'Base Case'!E7-8</f>
        <v>45.684117004649679</v>
      </c>
      <c r="F7" s="1">
        <f>'Base Case'!F7-8</f>
        <v>45.684117004649679</v>
      </c>
      <c r="G7" s="1">
        <f>'Base Case'!G7-8</f>
        <v>45.684117004649679</v>
      </c>
      <c r="H7" s="1">
        <f>'Base Case'!H7-8</f>
        <v>45.684117004649679</v>
      </c>
      <c r="I7" s="1">
        <f>'Base Case'!I7-8</f>
        <v>45.684117004649679</v>
      </c>
      <c r="J7" s="1">
        <f>'Base Case'!J7-8</f>
        <v>45.684117004649679</v>
      </c>
      <c r="K7" s="1">
        <f>'Base Case'!K7-8</f>
        <v>45.684117004649679</v>
      </c>
      <c r="L7" s="1">
        <f>'Base Case'!L7-8</f>
        <v>45.684117004649679</v>
      </c>
      <c r="M7" s="1">
        <f>'Base Case'!M7-8</f>
        <v>45.684117004649679</v>
      </c>
      <c r="N7" s="1">
        <f>'Base Case'!N7-8</f>
        <v>45.684117004649679</v>
      </c>
      <c r="O7" s="1">
        <f>'Base Case'!O7-8</f>
        <v>45.684117004649679</v>
      </c>
      <c r="P7" s="1">
        <f>'Base Case'!P7-8</f>
        <v>45.684117004649679</v>
      </c>
      <c r="Q7" s="1"/>
    </row>
    <row r="8" spans="2:17" ht="15.75" customHeight="1" x14ac:dyDescent="0.3">
      <c r="B8" s="14" t="s">
        <v>131</v>
      </c>
      <c r="C8" s="1" t="s">
        <v>129</v>
      </c>
      <c r="D8" s="1">
        <f>'Base Case'!D8</f>
        <v>73.723447538011015</v>
      </c>
      <c r="E8" s="1">
        <f>'Base Case'!E8</f>
        <v>73.723447538011015</v>
      </c>
      <c r="F8" s="1">
        <f>'Base Case'!F8</f>
        <v>73.723447538011015</v>
      </c>
      <c r="G8" s="1">
        <f>'Base Case'!G8</f>
        <v>73.723447538011015</v>
      </c>
      <c r="H8" s="1">
        <f>'Base Case'!H8</f>
        <v>73.723447538011015</v>
      </c>
      <c r="I8" s="1">
        <f>'Base Case'!I8</f>
        <v>73.723447538011015</v>
      </c>
      <c r="J8" s="1">
        <f>'Base Case'!J8</f>
        <v>73.723447538011015</v>
      </c>
      <c r="K8" s="1">
        <f>'Base Case'!K8</f>
        <v>73.723447538011015</v>
      </c>
      <c r="L8" s="1">
        <f>'Base Case'!L8</f>
        <v>73.723447538011015</v>
      </c>
      <c r="M8" s="1">
        <f>'Base Case'!M8</f>
        <v>73.723447538011015</v>
      </c>
      <c r="N8" s="1">
        <f>'Base Case'!N8</f>
        <v>73.723447538011015</v>
      </c>
      <c r="O8" s="1">
        <f>'Base Case'!O8</f>
        <v>73.723447538011015</v>
      </c>
      <c r="P8" s="1">
        <f>'Base Case'!P8</f>
        <v>73.723447538011015</v>
      </c>
      <c r="Q8" s="1"/>
    </row>
    <row r="9" spans="2:17" ht="15.75" customHeight="1" x14ac:dyDescent="0.3">
      <c r="B9" s="14" t="s">
        <v>132</v>
      </c>
      <c r="C9" s="1" t="s">
        <v>129</v>
      </c>
      <c r="D9" s="1">
        <f>'Base Case'!D9+5</f>
        <v>66.604570698572317</v>
      </c>
      <c r="E9" s="1">
        <f>'Base Case'!E9+5</f>
        <v>66.604570698572317</v>
      </c>
      <c r="F9" s="1">
        <f>'Base Case'!F9+5</f>
        <v>66.604570698572317</v>
      </c>
      <c r="G9" s="1">
        <f>'Base Case'!G9+5</f>
        <v>66.604570698572317</v>
      </c>
      <c r="H9" s="1">
        <f>'Base Case'!H9+5</f>
        <v>66.604570698572317</v>
      </c>
      <c r="I9" s="1">
        <f>'Base Case'!I9+5</f>
        <v>66.604570698572317</v>
      </c>
      <c r="J9" s="1">
        <f>'Base Case'!J9+5</f>
        <v>66.604570698572317</v>
      </c>
      <c r="K9" s="1">
        <f>'Base Case'!K9+5</f>
        <v>66.604570698572317</v>
      </c>
      <c r="L9" s="1">
        <f>'Base Case'!L9+5</f>
        <v>66.604570698572317</v>
      </c>
      <c r="M9" s="1">
        <f>'Base Case'!M9+5</f>
        <v>66.604570698572317</v>
      </c>
      <c r="N9" s="1">
        <f>'Base Case'!N9+5</f>
        <v>66.604570698572317</v>
      </c>
      <c r="O9" s="1">
        <f>'Base Case'!O9+5</f>
        <v>66.604570698572317</v>
      </c>
      <c r="P9" s="1">
        <f>'Base Case'!P9+5</f>
        <v>66.604570698572317</v>
      </c>
      <c r="Q9" s="1"/>
    </row>
    <row r="10" spans="2:17" ht="15.75" customHeight="1" thickBot="1" x14ac:dyDescent="0.35">
      <c r="B10" s="14" t="s">
        <v>109</v>
      </c>
      <c r="C10" s="1" t="s">
        <v>129</v>
      </c>
      <c r="D10" s="1">
        <f>'Base Case'!D10</f>
        <v>741.23076923076928</v>
      </c>
      <c r="E10" s="1">
        <f>'Base Case'!E10</f>
        <v>741.23076923076928</v>
      </c>
      <c r="F10" s="1">
        <f>'Base Case'!F10</f>
        <v>741.23076923076928</v>
      </c>
      <c r="G10" s="1">
        <f>'Base Case'!G10</f>
        <v>741.23076923076928</v>
      </c>
      <c r="H10" s="1">
        <f>'Base Case'!H10</f>
        <v>741.23076923076928</v>
      </c>
      <c r="I10" s="1">
        <f>'Base Case'!I10</f>
        <v>741.23076923076928</v>
      </c>
      <c r="J10" s="1">
        <f>'Base Case'!J10</f>
        <v>741.23076923076928</v>
      </c>
      <c r="K10" s="1">
        <f>'Base Case'!K10</f>
        <v>741.23076923076928</v>
      </c>
      <c r="L10" s="1">
        <f>'Base Case'!L10</f>
        <v>741.23076923076928</v>
      </c>
      <c r="M10" s="1">
        <f>'Base Case'!M10</f>
        <v>741.23076923076928</v>
      </c>
      <c r="N10" s="1">
        <f>'Base Case'!N10</f>
        <v>741.23076923076928</v>
      </c>
      <c r="O10" s="1">
        <f>'Base Case'!O10</f>
        <v>741.23076923076928</v>
      </c>
      <c r="P10" s="1">
        <f>'Base Case'!P10</f>
        <v>741.23076923076928</v>
      </c>
      <c r="Q10" s="1"/>
    </row>
    <row r="11" spans="2:17" ht="18" customHeight="1" thickTop="1" thickBot="1" x14ac:dyDescent="0.35">
      <c r="B11" s="60" t="s">
        <v>133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</row>
    <row r="12" spans="2:17" ht="15.75" customHeight="1" x14ac:dyDescent="0.3">
      <c r="B12" s="14" t="s">
        <v>134</v>
      </c>
      <c r="C12" s="1" t="s">
        <v>129</v>
      </c>
      <c r="D12" s="5">
        <f t="shared" ref="D12:P12" si="0">IF(D7=0,0,C13/D7*7)</f>
        <v>59926.888807358569</v>
      </c>
      <c r="E12" s="5">
        <f t="shared" si="0"/>
        <v>58580.001102570459</v>
      </c>
      <c r="F12" s="5">
        <f t="shared" si="0"/>
        <v>57439.491775032322</v>
      </c>
      <c r="G12" s="5">
        <f t="shared" si="0"/>
        <v>56473.73826672024</v>
      </c>
      <c r="H12" s="5">
        <f t="shared" si="0"/>
        <v>55655.963421484783</v>
      </c>
      <c r="I12" s="5">
        <f t="shared" si="0"/>
        <v>54963.493042921327</v>
      </c>
      <c r="J12" s="5">
        <f t="shared" si="0"/>
        <v>54377.127213767257</v>
      </c>
      <c r="K12" s="5">
        <f t="shared" si="0"/>
        <v>53880.607945588861</v>
      </c>
      <c r="L12" s="5">
        <f t="shared" si="0"/>
        <v>53460.168398441194</v>
      </c>
      <c r="M12" s="5">
        <f t="shared" si="0"/>
        <v>53104.151171850448</v>
      </c>
      <c r="N12" s="5">
        <f t="shared" si="0"/>
        <v>52802.685083588192</v>
      </c>
      <c r="O12" s="5">
        <f t="shared" si="0"/>
        <v>52547.4114743799</v>
      </c>
      <c r="P12" s="5">
        <f t="shared" si="0"/>
        <v>52331.252449881118</v>
      </c>
      <c r="Q12" s="4">
        <f>SUM(D12:P12)</f>
        <v>715542.98015358485</v>
      </c>
    </row>
    <row r="13" spans="2:17" ht="15.75" customHeight="1" x14ac:dyDescent="0.3">
      <c r="B13" s="14" t="s">
        <v>135</v>
      </c>
      <c r="C13" s="1">
        <f>'Financial Statements'!F34</f>
        <v>391101</v>
      </c>
      <c r="D13" s="5">
        <f t="shared" ref="D13:P13" si="1">C13+D6-D12</f>
        <v>382310.80350033374</v>
      </c>
      <c r="E13" s="5">
        <f t="shared" si="1"/>
        <v>374867.49470545561</v>
      </c>
      <c r="F13" s="5">
        <f t="shared" si="1"/>
        <v>368564.69523811562</v>
      </c>
      <c r="G13" s="5">
        <f t="shared" si="1"/>
        <v>363227.64927908767</v>
      </c>
      <c r="H13" s="5">
        <f t="shared" si="1"/>
        <v>358708.37816529517</v>
      </c>
      <c r="I13" s="5">
        <f t="shared" si="1"/>
        <v>354881.57743006619</v>
      </c>
      <c r="J13" s="5">
        <f t="shared" si="1"/>
        <v>351641.14252399124</v>
      </c>
      <c r="K13" s="5">
        <f t="shared" si="1"/>
        <v>348897.22688609466</v>
      </c>
      <c r="L13" s="5">
        <f t="shared" si="1"/>
        <v>346573.75079534575</v>
      </c>
      <c r="M13" s="5">
        <f t="shared" si="1"/>
        <v>344606.29193118762</v>
      </c>
      <c r="N13" s="5">
        <f t="shared" si="1"/>
        <v>342940.29915529175</v>
      </c>
      <c r="O13" s="5">
        <f t="shared" si="1"/>
        <v>341529.57998860418</v>
      </c>
      <c r="P13" s="5">
        <f t="shared" si="1"/>
        <v>340335.01984641538</v>
      </c>
      <c r="Q13" s="42">
        <f>P13</f>
        <v>340335.01984641538</v>
      </c>
    </row>
    <row r="14" spans="2:17" ht="15.75" customHeight="1" x14ac:dyDescent="0.3">
      <c r="C14" s="1"/>
    </row>
    <row r="15" spans="2:17" ht="18" customHeight="1" thickBot="1" x14ac:dyDescent="0.35">
      <c r="B15" s="2" t="s">
        <v>136</v>
      </c>
      <c r="C15" s="1" t="s">
        <v>129</v>
      </c>
      <c r="D15" s="3">
        <f t="shared" ref="D15:P15" si="2">D12</f>
        <v>59926.888807358569</v>
      </c>
      <c r="E15" s="3">
        <f t="shared" si="2"/>
        <v>58580.001102570459</v>
      </c>
      <c r="F15" s="3">
        <f t="shared" si="2"/>
        <v>57439.491775032322</v>
      </c>
      <c r="G15" s="3">
        <f t="shared" si="2"/>
        <v>56473.73826672024</v>
      </c>
      <c r="H15" s="3">
        <f t="shared" si="2"/>
        <v>55655.963421484783</v>
      </c>
      <c r="I15" s="3">
        <f t="shared" si="2"/>
        <v>54963.493042921327</v>
      </c>
      <c r="J15" s="3">
        <f t="shared" si="2"/>
        <v>54377.127213767257</v>
      </c>
      <c r="K15" s="3">
        <f t="shared" si="2"/>
        <v>53880.607945588861</v>
      </c>
      <c r="L15" s="3">
        <f t="shared" si="2"/>
        <v>53460.168398441194</v>
      </c>
      <c r="M15" s="3">
        <f t="shared" si="2"/>
        <v>53104.151171850448</v>
      </c>
      <c r="N15" s="3">
        <f t="shared" si="2"/>
        <v>52802.685083588192</v>
      </c>
      <c r="O15" s="3">
        <f t="shared" si="2"/>
        <v>52547.4114743799</v>
      </c>
      <c r="P15" s="3">
        <f t="shared" si="2"/>
        <v>52331.252449881118</v>
      </c>
      <c r="Q15" s="3">
        <f>SUM(D15:P15)</f>
        <v>715542.98015358485</v>
      </c>
    </row>
    <row r="16" spans="2:17" ht="18" customHeight="1" thickTop="1" thickBot="1" x14ac:dyDescent="0.35">
      <c r="B16" s="60" t="s">
        <v>137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</row>
    <row r="17" spans="2:17" ht="15.75" customHeight="1" x14ac:dyDescent="0.3">
      <c r="B17" s="14" t="s">
        <v>138</v>
      </c>
      <c r="C17" s="1">
        <f>'Financial Statements'!F36</f>
        <v>482544</v>
      </c>
      <c r="D17" s="5">
        <f>(D6*'Financial Statements'!$F$96)/7*D8</f>
        <v>483869.67032967031</v>
      </c>
      <c r="E17" s="5">
        <f>(E6*'Financial Statements'!$F$96)/7*E8</f>
        <v>483869.67032967031</v>
      </c>
      <c r="F17" s="5">
        <f>(F6*'Financial Statements'!$F$96)/7*F8</f>
        <v>483869.67032967031</v>
      </c>
      <c r="G17" s="5">
        <f>(G6*'Financial Statements'!$F$96)/7*G8</f>
        <v>483869.67032967031</v>
      </c>
      <c r="H17" s="5">
        <f>(H6*'Financial Statements'!$F$96)/7*H8</f>
        <v>483869.67032967031</v>
      </c>
      <c r="I17" s="5">
        <f>(I6*'Financial Statements'!$F$96)/7*I8</f>
        <v>483869.67032967031</v>
      </c>
      <c r="J17" s="5">
        <f>(J6*'Financial Statements'!$F$96)/7*J8</f>
        <v>483869.67032967031</v>
      </c>
      <c r="K17" s="5">
        <f>(K6*'Financial Statements'!$F$96)/7*K8</f>
        <v>483869.67032967031</v>
      </c>
      <c r="L17" s="5">
        <f>(L6*'Financial Statements'!$F$96)/7*L8</f>
        <v>483869.67032967031</v>
      </c>
      <c r="M17" s="5">
        <f>(M6*'Financial Statements'!$F$96)/7*M8</f>
        <v>483869.67032967031</v>
      </c>
      <c r="N17" s="5">
        <f>(N6*'Financial Statements'!$F$96)/7*N8</f>
        <v>483869.67032967031</v>
      </c>
      <c r="O17" s="5">
        <f>(O6*'Financial Statements'!$F$96)/7*O8</f>
        <v>483869.67032967031</v>
      </c>
      <c r="P17" s="5">
        <f>(P6*'Financial Statements'!$F$96)/7*P8</f>
        <v>483869.67032967031</v>
      </c>
      <c r="Q17" s="5">
        <f>P17</f>
        <v>483869.67032967031</v>
      </c>
    </row>
    <row r="18" spans="2:17" ht="15.75" customHeight="1" x14ac:dyDescent="0.3">
      <c r="B18" s="14" t="s">
        <v>139</v>
      </c>
      <c r="C18" s="1" t="s">
        <v>129</v>
      </c>
      <c r="D18" s="5">
        <f>(D6*'Financial Statements'!$F$96)+D17-C17</f>
        <v>47268.824175824178</v>
      </c>
      <c r="E18" s="5">
        <f>(E6*'Financial Statements'!$F$96)+E17-D17</f>
        <v>45943.153846153873</v>
      </c>
      <c r="F18" s="5">
        <f>(F6*'Financial Statements'!$F$96)+F17-E17</f>
        <v>45943.153846153873</v>
      </c>
      <c r="G18" s="5">
        <f>(G6*'Financial Statements'!$F$96)+G17-F17</f>
        <v>45943.153846153873</v>
      </c>
      <c r="H18" s="5">
        <f>(H6*'Financial Statements'!$F$96)+H17-G17</f>
        <v>45943.153846153873</v>
      </c>
      <c r="I18" s="5">
        <f>(I6*'Financial Statements'!$F$96)+I17-H17</f>
        <v>45943.153846153873</v>
      </c>
      <c r="J18" s="5">
        <f>(J6*'Financial Statements'!$F$96)+J17-I17</f>
        <v>45943.153846153873</v>
      </c>
      <c r="K18" s="5">
        <f>(K6*'Financial Statements'!$F$96)+K17-J17</f>
        <v>45943.153846153873</v>
      </c>
      <c r="L18" s="5">
        <f>(L6*'Financial Statements'!$F$96)+L17-K17</f>
        <v>45943.153846153873</v>
      </c>
      <c r="M18" s="5">
        <f>(M6*'Financial Statements'!$F$96)+M17-L17</f>
        <v>45943.153846153873</v>
      </c>
      <c r="N18" s="5">
        <f>(N6*'Financial Statements'!$F$96)+N17-M17</f>
        <v>45943.153846153873</v>
      </c>
      <c r="O18" s="5">
        <f>(O6*'Financial Statements'!$F$96)+O17-N17</f>
        <v>45943.153846153873</v>
      </c>
      <c r="P18" s="5">
        <f>(P6*'Financial Statements'!$F$96)+P17-O17</f>
        <v>45943.153846153873</v>
      </c>
      <c r="Q18" s="5">
        <f>SUM(D18:P18)</f>
        <v>598586.67032967065</v>
      </c>
    </row>
    <row r="19" spans="2:17" ht="15.75" customHeight="1" x14ac:dyDescent="0.3">
      <c r="B19" s="14" t="s">
        <v>140</v>
      </c>
      <c r="C19" s="1">
        <f>'Financial Statements'!F48</f>
        <v>403222</v>
      </c>
      <c r="D19" s="5">
        <f t="shared" ref="D19:P19" si="3">C19+D18-D20</f>
        <v>408113.04183452157</v>
      </c>
      <c r="E19" s="5">
        <f t="shared" si="3"/>
        <v>411164.37515126413</v>
      </c>
      <c r="F19" s="5">
        <f t="shared" si="3"/>
        <v>413895.01976761909</v>
      </c>
      <c r="G19" s="5">
        <f t="shared" si="3"/>
        <v>416338.67939009145</v>
      </c>
      <c r="H19" s="5">
        <f t="shared" si="3"/>
        <v>418525.51553666871</v>
      </c>
      <c r="I19" s="5">
        <f t="shared" si="3"/>
        <v>420482.5198133685</v>
      </c>
      <c r="J19" s="5">
        <f t="shared" si="3"/>
        <v>422233.84706530528</v>
      </c>
      <c r="K19" s="5">
        <f t="shared" si="3"/>
        <v>423801.11351428251</v>
      </c>
      <c r="L19" s="5">
        <f t="shared" si="3"/>
        <v>425203.66356275184</v>
      </c>
      <c r="M19" s="5">
        <f t="shared" si="3"/>
        <v>426458.80855723895</v>
      </c>
      <c r="N19" s="5">
        <f t="shared" si="3"/>
        <v>427582.0404582363</v>
      </c>
      <c r="O19" s="5">
        <f t="shared" si="3"/>
        <v>428587.2230538404</v>
      </c>
      <c r="P19" s="5">
        <f t="shared" si="3"/>
        <v>429486.76307723916</v>
      </c>
      <c r="Q19" s="5">
        <f>P19</f>
        <v>429486.76307723916</v>
      </c>
    </row>
    <row r="20" spans="2:17" ht="15.75" customHeight="1" x14ac:dyDescent="0.3">
      <c r="B20" s="14" t="s">
        <v>141</v>
      </c>
      <c r="C20" s="1" t="s">
        <v>129</v>
      </c>
      <c r="D20" s="5">
        <f t="shared" ref="D20:P20" si="4">C19/D9*7</f>
        <v>42377.782341302627</v>
      </c>
      <c r="E20" s="5">
        <f t="shared" si="4"/>
        <v>42891.820529411307</v>
      </c>
      <c r="F20" s="5">
        <f t="shared" si="4"/>
        <v>43212.509229798889</v>
      </c>
      <c r="G20" s="5">
        <f t="shared" si="4"/>
        <v>43499.494223681511</v>
      </c>
      <c r="H20" s="5">
        <f t="shared" si="4"/>
        <v>43756.31769957659</v>
      </c>
      <c r="I20" s="5">
        <f t="shared" si="4"/>
        <v>43986.149569454086</v>
      </c>
      <c r="J20" s="5">
        <f t="shared" si="4"/>
        <v>44191.826594217076</v>
      </c>
      <c r="K20" s="5">
        <f t="shared" si="4"/>
        <v>44375.887397176652</v>
      </c>
      <c r="L20" s="5">
        <f t="shared" si="4"/>
        <v>44540.603797684525</v>
      </c>
      <c r="M20" s="5">
        <f t="shared" si="4"/>
        <v>44688.008851666746</v>
      </c>
      <c r="N20" s="5">
        <f t="shared" si="4"/>
        <v>44819.921945156551</v>
      </c>
      <c r="O20" s="5">
        <f t="shared" si="4"/>
        <v>44937.971250549796</v>
      </c>
      <c r="P20" s="5">
        <f t="shared" si="4"/>
        <v>45043.613822755127</v>
      </c>
      <c r="Q20" s="5">
        <f t="shared" ref="Q20:Q25" si="5">SUM(D20:P20)</f>
        <v>572321.9072524315</v>
      </c>
    </row>
    <row r="21" spans="2:17" ht="15.75" customHeight="1" x14ac:dyDescent="0.3">
      <c r="B21" s="14" t="s">
        <v>142</v>
      </c>
      <c r="C21" s="1" t="s">
        <v>129</v>
      </c>
      <c r="D21" s="5">
        <f>D6*'Financial Statements'!$F$102</f>
        <v>3070.3461538461538</v>
      </c>
      <c r="E21" s="5">
        <f>E6*'Financial Statements'!$F$102</f>
        <v>3070.3461538461538</v>
      </c>
      <c r="F21" s="5">
        <f>F6*'Financial Statements'!$F$102</f>
        <v>3070.3461538461538</v>
      </c>
      <c r="G21" s="5">
        <f>G6*'Financial Statements'!$F$102</f>
        <v>3070.3461538461538</v>
      </c>
      <c r="H21" s="5">
        <f>H6*'Financial Statements'!$F$102</f>
        <v>3070.3461538461538</v>
      </c>
      <c r="I21" s="5">
        <f>I6*'Financial Statements'!$F$102</f>
        <v>3070.3461538461538</v>
      </c>
      <c r="J21" s="5">
        <f>J6*'Financial Statements'!$F$102</f>
        <v>3070.3461538461538</v>
      </c>
      <c r="K21" s="5">
        <f>K6*'Financial Statements'!$F$102</f>
        <v>3070.3461538461538</v>
      </c>
      <c r="L21" s="5">
        <f>L6*'Financial Statements'!$F$102</f>
        <v>3070.3461538461538</v>
      </c>
      <c r="M21" s="5">
        <f>M6*'Financial Statements'!$F$102</f>
        <v>3070.3461538461538</v>
      </c>
      <c r="N21" s="5">
        <f>N6*'Financial Statements'!$F$102</f>
        <v>3070.3461538461538</v>
      </c>
      <c r="O21" s="5">
        <f>O6*'Financial Statements'!$F$102</f>
        <v>3070.3461538461538</v>
      </c>
      <c r="P21" s="5">
        <f>P6*'Financial Statements'!$F$102</f>
        <v>3070.3461538461538</v>
      </c>
      <c r="Q21" s="5">
        <f t="shared" si="5"/>
        <v>39914.5</v>
      </c>
    </row>
    <row r="22" spans="2:17" ht="15.75" customHeight="1" x14ac:dyDescent="0.3">
      <c r="B22" s="14" t="s">
        <v>33</v>
      </c>
      <c r="C22" s="1" t="s">
        <v>129</v>
      </c>
      <c r="D22" s="1">
        <f>'Financial Statements'!$F$100</f>
        <v>387.65384615384613</v>
      </c>
      <c r="E22" s="1">
        <f>'Financial Statements'!$F$100</f>
        <v>387.65384615384613</v>
      </c>
      <c r="F22" s="1">
        <f>'Financial Statements'!$F$100</f>
        <v>387.65384615384613</v>
      </c>
      <c r="G22" s="1">
        <f>'Financial Statements'!$F$100</f>
        <v>387.65384615384613</v>
      </c>
      <c r="H22" s="1">
        <f>'Financial Statements'!$F$100</f>
        <v>387.65384615384613</v>
      </c>
      <c r="I22" s="1">
        <f>'Financial Statements'!$F$100</f>
        <v>387.65384615384613</v>
      </c>
      <c r="J22" s="1">
        <f>'Financial Statements'!$F$100</f>
        <v>387.65384615384613</v>
      </c>
      <c r="K22" s="1">
        <f>'Financial Statements'!$F$100</f>
        <v>387.65384615384613</v>
      </c>
      <c r="L22" s="1">
        <f>'Financial Statements'!$F$100</f>
        <v>387.65384615384613</v>
      </c>
      <c r="M22" s="1">
        <f>'Financial Statements'!$F$100</f>
        <v>387.65384615384613</v>
      </c>
      <c r="N22" s="1">
        <f>'Financial Statements'!$F$100</f>
        <v>387.65384615384613</v>
      </c>
      <c r="O22" s="1">
        <f>'Financial Statements'!$F$100</f>
        <v>387.65384615384613</v>
      </c>
      <c r="P22" s="1">
        <f>'Financial Statements'!$F$100</f>
        <v>387.65384615384613</v>
      </c>
      <c r="Q22" s="1">
        <f t="shared" si="5"/>
        <v>5039.4999999999991</v>
      </c>
    </row>
    <row r="23" spans="2:17" ht="15.75" customHeight="1" x14ac:dyDescent="0.3">
      <c r="B23" s="14" t="s">
        <v>143</v>
      </c>
      <c r="C23" s="1" t="s">
        <v>129</v>
      </c>
      <c r="D23" s="1">
        <v>0</v>
      </c>
      <c r="E23" s="1">
        <v>0</v>
      </c>
      <c r="F23" s="1">
        <v>0</v>
      </c>
      <c r="G23" s="1">
        <f>'Financial Statements'!$F$20/52*3</f>
        <v>2116.2692307692305</v>
      </c>
      <c r="H23" s="1">
        <v>0</v>
      </c>
      <c r="I23" s="1">
        <v>0</v>
      </c>
      <c r="J23" s="1">
        <f>'Financial Statements'!$F$20/52*3</f>
        <v>2116.2692307692305</v>
      </c>
      <c r="K23" s="1">
        <v>0</v>
      </c>
      <c r="L23" s="1">
        <v>0</v>
      </c>
      <c r="M23" s="1">
        <f>'Financial Statements'!$F$20/52*3</f>
        <v>2116.2692307692305</v>
      </c>
      <c r="N23" s="1">
        <v>0</v>
      </c>
      <c r="O23" s="1">
        <v>0</v>
      </c>
      <c r="P23" s="1">
        <f>'Financial Statements'!$F$20/52*3</f>
        <v>2116.2692307692305</v>
      </c>
      <c r="Q23" s="1">
        <f t="shared" si="5"/>
        <v>8465.076923076922</v>
      </c>
    </row>
    <row r="24" spans="2:17" ht="15.75" customHeight="1" x14ac:dyDescent="0.3">
      <c r="B24" s="14" t="s">
        <v>144</v>
      </c>
      <c r="C24" s="1" t="s">
        <v>129</v>
      </c>
      <c r="D24" s="1">
        <f>D10</f>
        <v>741.23076923076928</v>
      </c>
      <c r="E24" s="1">
        <f t="shared" ref="E24:P24" si="6">E10</f>
        <v>741.23076923076928</v>
      </c>
      <c r="F24" s="1">
        <f t="shared" si="6"/>
        <v>741.23076923076928</v>
      </c>
      <c r="G24" s="1">
        <f t="shared" si="6"/>
        <v>741.23076923076928</v>
      </c>
      <c r="H24" s="1">
        <f t="shared" si="6"/>
        <v>741.23076923076928</v>
      </c>
      <c r="I24" s="1">
        <f t="shared" si="6"/>
        <v>741.23076923076928</v>
      </c>
      <c r="J24" s="1">
        <f t="shared" si="6"/>
        <v>741.23076923076928</v>
      </c>
      <c r="K24" s="1">
        <f t="shared" si="6"/>
        <v>741.23076923076928</v>
      </c>
      <c r="L24" s="1">
        <f t="shared" si="6"/>
        <v>741.23076923076928</v>
      </c>
      <c r="M24" s="1">
        <f t="shared" si="6"/>
        <v>741.23076923076928</v>
      </c>
      <c r="N24" s="1">
        <f t="shared" si="6"/>
        <v>741.23076923076928</v>
      </c>
      <c r="O24" s="1">
        <f t="shared" si="6"/>
        <v>741.23076923076928</v>
      </c>
      <c r="P24" s="1">
        <f t="shared" si="6"/>
        <v>741.23076923076928</v>
      </c>
      <c r="Q24" s="1">
        <f t="shared" si="5"/>
        <v>9636.0000000000018</v>
      </c>
    </row>
    <row r="25" spans="2:17" ht="18" customHeight="1" thickBot="1" x14ac:dyDescent="0.35">
      <c r="B25" s="62" t="s">
        <v>145</v>
      </c>
      <c r="C25" s="1" t="s">
        <v>129</v>
      </c>
      <c r="D25" s="63">
        <f t="shared" ref="D25:P25" si="7">D20+D21+D22+D23+D24</f>
        <v>46577.013110533393</v>
      </c>
      <c r="E25" s="63">
        <f t="shared" si="7"/>
        <v>47091.051298642073</v>
      </c>
      <c r="F25" s="63">
        <f t="shared" si="7"/>
        <v>47411.739999029654</v>
      </c>
      <c r="G25" s="63">
        <f t="shared" si="7"/>
        <v>49814.994223681511</v>
      </c>
      <c r="H25" s="63">
        <f t="shared" si="7"/>
        <v>47955.548468807356</v>
      </c>
      <c r="I25" s="63">
        <f t="shared" si="7"/>
        <v>48185.380338684852</v>
      </c>
      <c r="J25" s="63">
        <f t="shared" si="7"/>
        <v>50507.326594217069</v>
      </c>
      <c r="K25" s="63">
        <f t="shared" si="7"/>
        <v>48575.118166407417</v>
      </c>
      <c r="L25" s="63">
        <f t="shared" si="7"/>
        <v>48739.834566915291</v>
      </c>
      <c r="M25" s="63">
        <f t="shared" si="7"/>
        <v>51003.508851666746</v>
      </c>
      <c r="N25" s="63">
        <f t="shared" si="7"/>
        <v>49019.152714387317</v>
      </c>
      <c r="O25" s="63">
        <f t="shared" si="7"/>
        <v>49137.202019780561</v>
      </c>
      <c r="P25" s="63">
        <f t="shared" si="7"/>
        <v>51359.113822755127</v>
      </c>
      <c r="Q25" s="63">
        <f t="shared" si="5"/>
        <v>635376.98417550838</v>
      </c>
    </row>
    <row r="26" spans="2:17" ht="18" customHeight="1" thickTop="1" thickBot="1" x14ac:dyDescent="0.35">
      <c r="B26" s="60" t="s">
        <v>146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</row>
    <row r="27" spans="2:17" ht="18" customHeight="1" x14ac:dyDescent="0.3">
      <c r="B27" s="14" t="s">
        <v>147</v>
      </c>
      <c r="C27" s="1"/>
      <c r="D27" s="4">
        <f t="shared" ref="D27:P27" si="8">D15-D25</f>
        <v>13349.875696825176</v>
      </c>
      <c r="E27" s="4">
        <f t="shared" si="8"/>
        <v>11488.949803928386</v>
      </c>
      <c r="F27" s="4">
        <f t="shared" si="8"/>
        <v>10027.751776002668</v>
      </c>
      <c r="G27" s="4">
        <f t="shared" si="8"/>
        <v>6658.7440430387287</v>
      </c>
      <c r="H27" s="4">
        <f t="shared" si="8"/>
        <v>7700.4149526774272</v>
      </c>
      <c r="I27" s="4">
        <f t="shared" si="8"/>
        <v>6778.1127042364751</v>
      </c>
      <c r="J27" s="4">
        <f t="shared" si="8"/>
        <v>3869.8006195501875</v>
      </c>
      <c r="K27" s="4">
        <f t="shared" si="8"/>
        <v>5305.4897791814437</v>
      </c>
      <c r="L27" s="4">
        <f t="shared" si="8"/>
        <v>4720.3338315259025</v>
      </c>
      <c r="M27" s="4">
        <f t="shared" si="8"/>
        <v>2100.6423201837024</v>
      </c>
      <c r="N27" s="4">
        <f t="shared" si="8"/>
        <v>3783.5323692008751</v>
      </c>
      <c r="O27" s="4">
        <f t="shared" si="8"/>
        <v>3410.2094545993386</v>
      </c>
      <c r="P27" s="4">
        <f t="shared" si="8"/>
        <v>972.13862712599075</v>
      </c>
      <c r="Q27" s="4">
        <f>SUM(D27:P27)</f>
        <v>80165.995978076302</v>
      </c>
    </row>
    <row r="28" spans="2:17" ht="18" customHeight="1" x14ac:dyDescent="0.3">
      <c r="B28" s="14" t="s">
        <v>148</v>
      </c>
      <c r="C28" s="1">
        <f>'Financial Statements'!F32</f>
        <v>322064</v>
      </c>
      <c r="D28" s="5">
        <f>C28</f>
        <v>322064</v>
      </c>
      <c r="E28" s="5">
        <f t="shared" ref="E28:P28" si="9">D29</f>
        <v>335413.87569682515</v>
      </c>
      <c r="F28" s="5">
        <f t="shared" si="9"/>
        <v>346902.82550075353</v>
      </c>
      <c r="G28" s="5">
        <f t="shared" si="9"/>
        <v>356930.57727675617</v>
      </c>
      <c r="H28" s="5">
        <f t="shared" si="9"/>
        <v>363589.32131979492</v>
      </c>
      <c r="I28" s="5">
        <f t="shared" si="9"/>
        <v>371289.73627247236</v>
      </c>
      <c r="J28" s="5">
        <f t="shared" si="9"/>
        <v>378067.84897670883</v>
      </c>
      <c r="K28" s="5">
        <f t="shared" si="9"/>
        <v>381937.649596259</v>
      </c>
      <c r="L28" s="5">
        <f t="shared" si="9"/>
        <v>387243.13937544043</v>
      </c>
      <c r="M28" s="5">
        <f t="shared" si="9"/>
        <v>391963.4732069663</v>
      </c>
      <c r="N28" s="5">
        <f t="shared" si="9"/>
        <v>394064.11552714999</v>
      </c>
      <c r="O28" s="5">
        <f t="shared" si="9"/>
        <v>397847.64789635089</v>
      </c>
      <c r="P28" s="5">
        <f t="shared" si="9"/>
        <v>401257.85735095025</v>
      </c>
      <c r="Q28" s="4">
        <f>D28</f>
        <v>322064</v>
      </c>
    </row>
    <row r="29" spans="2:17" ht="18" customHeight="1" x14ac:dyDescent="0.3">
      <c r="B29" s="11" t="s">
        <v>104</v>
      </c>
      <c r="C29" s="1"/>
      <c r="D29" s="4">
        <f t="shared" ref="D29:P29" si="10">D28+D27</f>
        <v>335413.87569682515</v>
      </c>
      <c r="E29" s="4">
        <f t="shared" si="10"/>
        <v>346902.82550075353</v>
      </c>
      <c r="F29" s="4">
        <f t="shared" si="10"/>
        <v>356930.57727675617</v>
      </c>
      <c r="G29" s="4">
        <f t="shared" si="10"/>
        <v>363589.32131979492</v>
      </c>
      <c r="H29" s="4">
        <f t="shared" si="10"/>
        <v>371289.73627247236</v>
      </c>
      <c r="I29" s="4">
        <f t="shared" si="10"/>
        <v>378067.84897670883</v>
      </c>
      <c r="J29" s="4">
        <f t="shared" si="10"/>
        <v>381937.649596259</v>
      </c>
      <c r="K29" s="4">
        <f t="shared" si="10"/>
        <v>387243.13937544043</v>
      </c>
      <c r="L29" s="4">
        <f t="shared" si="10"/>
        <v>391963.4732069663</v>
      </c>
      <c r="M29" s="4">
        <f t="shared" si="10"/>
        <v>394064.11552714999</v>
      </c>
      <c r="N29" s="4">
        <f t="shared" si="10"/>
        <v>397847.64789635089</v>
      </c>
      <c r="O29" s="4">
        <f t="shared" si="10"/>
        <v>401257.85735095025</v>
      </c>
      <c r="P29" s="4">
        <f t="shared" si="10"/>
        <v>402229.99597807624</v>
      </c>
      <c r="Q29" s="4">
        <f>P29</f>
        <v>402229.99597807624</v>
      </c>
    </row>
    <row r="30" spans="2:17" ht="18" customHeight="1" x14ac:dyDescent="0.3">
      <c r="B30" s="11" t="s">
        <v>149</v>
      </c>
      <c r="C30" s="1">
        <v>15000</v>
      </c>
      <c r="D30" s="42">
        <v>15000</v>
      </c>
      <c r="E30" s="42">
        <v>15000</v>
      </c>
      <c r="F30" s="42">
        <v>15000</v>
      </c>
      <c r="G30" s="42">
        <v>15000</v>
      </c>
      <c r="H30" s="42">
        <v>15000</v>
      </c>
      <c r="I30" s="42">
        <v>15000</v>
      </c>
      <c r="J30" s="42">
        <v>15000</v>
      </c>
      <c r="K30" s="42">
        <v>15000</v>
      </c>
      <c r="L30" s="42">
        <v>15000</v>
      </c>
      <c r="M30" s="42">
        <v>15000</v>
      </c>
      <c r="N30" s="42">
        <v>15000</v>
      </c>
      <c r="O30" s="42">
        <v>15000</v>
      </c>
      <c r="P30" s="42">
        <v>15000</v>
      </c>
      <c r="Q30" s="17"/>
    </row>
    <row r="31" spans="2:17" ht="18" customHeight="1" x14ac:dyDescent="0.3">
      <c r="B31" s="11" t="s">
        <v>150</v>
      </c>
      <c r="C31" s="1"/>
      <c r="D31" s="4">
        <f t="shared" ref="D31:P31" si="11">D29-D30</f>
        <v>320413.87569682515</v>
      </c>
      <c r="E31" s="4">
        <f t="shared" si="11"/>
        <v>331902.82550075353</v>
      </c>
      <c r="F31" s="4">
        <f t="shared" si="11"/>
        <v>341930.57727675617</v>
      </c>
      <c r="G31" s="4">
        <f t="shared" si="11"/>
        <v>348589.32131979492</v>
      </c>
      <c r="H31" s="4">
        <f t="shared" si="11"/>
        <v>356289.73627247236</v>
      </c>
      <c r="I31" s="4">
        <f t="shared" si="11"/>
        <v>363067.84897670883</v>
      </c>
      <c r="J31" s="4">
        <f t="shared" si="11"/>
        <v>366937.649596259</v>
      </c>
      <c r="K31" s="4">
        <f t="shared" si="11"/>
        <v>372243.13937544043</v>
      </c>
      <c r="L31" s="4">
        <f t="shared" si="11"/>
        <v>376963.4732069663</v>
      </c>
      <c r="M31" s="4">
        <f t="shared" si="11"/>
        <v>379064.11552714999</v>
      </c>
      <c r="N31" s="4">
        <f t="shared" si="11"/>
        <v>382847.64789635089</v>
      </c>
      <c r="O31" s="4">
        <f t="shared" si="11"/>
        <v>386257.85735095025</v>
      </c>
      <c r="P31" s="4">
        <f t="shared" si="11"/>
        <v>387229.99597807624</v>
      </c>
      <c r="Q31" s="4">
        <f>P31</f>
        <v>387229.99597807624</v>
      </c>
    </row>
  </sheetData>
  <mergeCells count="2">
    <mergeCell ref="B2:Q2"/>
    <mergeCell ref="B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21"/>
  <sheetViews>
    <sheetView zoomScaleNormal="100" workbookViewId="0">
      <selection activeCell="G12" sqref="G12"/>
    </sheetView>
  </sheetViews>
  <sheetFormatPr defaultColWidth="8.7109375" defaultRowHeight="16.5" x14ac:dyDescent="0.3"/>
  <cols>
    <col min="1" max="1" width="3" style="10" customWidth="1"/>
    <col min="2" max="2" width="38" style="10" customWidth="1"/>
    <col min="3" max="6" width="18" style="10" customWidth="1"/>
    <col min="7" max="7" width="40.28515625" style="10" bestFit="1" customWidth="1"/>
    <col min="8" max="16384" width="8.7109375" style="10"/>
  </cols>
  <sheetData>
    <row r="2" spans="2:7" ht="36" customHeight="1" x14ac:dyDescent="0.3">
      <c r="B2" s="79" t="s">
        <v>212</v>
      </c>
      <c r="C2" s="79"/>
      <c r="D2" s="79"/>
      <c r="E2" s="79"/>
      <c r="F2" s="79"/>
      <c r="G2" s="79"/>
    </row>
    <row r="3" spans="2:7" ht="18" customHeight="1" x14ac:dyDescent="0.3">
      <c r="B3" s="84" t="s">
        <v>175</v>
      </c>
      <c r="C3" s="84"/>
      <c r="D3" s="84"/>
      <c r="E3" s="84"/>
      <c r="F3" s="84"/>
      <c r="G3" s="84"/>
    </row>
    <row r="4" spans="2:7" ht="45.75" thickBot="1" x14ac:dyDescent="0.35">
      <c r="B4" s="70"/>
      <c r="C4" s="70" t="s">
        <v>8</v>
      </c>
      <c r="D4" s="70" t="s">
        <v>151</v>
      </c>
      <c r="E4" s="70" t="s">
        <v>152</v>
      </c>
      <c r="F4" s="70" t="s">
        <v>153</v>
      </c>
      <c r="G4" s="70" t="s">
        <v>154</v>
      </c>
    </row>
    <row r="5" spans="2:7" x14ac:dyDescent="0.3">
      <c r="B5" s="14" t="s">
        <v>148</v>
      </c>
      <c r="C5" s="5">
        <f>'Base Case'!C28</f>
        <v>322064</v>
      </c>
      <c r="D5" s="5">
        <f>'Scenario 1-Slow Collections'!C28</f>
        <v>322064</v>
      </c>
      <c r="E5" s="5">
        <f>'Scenario 2-Seasonal Pressure'!C28</f>
        <v>322064</v>
      </c>
      <c r="F5" s="5">
        <f>'Scenario 3-Process Improvement'!D28</f>
        <v>322064</v>
      </c>
      <c r="G5" s="43" t="s">
        <v>206</v>
      </c>
    </row>
    <row r="6" spans="2:7" ht="18" customHeight="1" x14ac:dyDescent="0.3">
      <c r="B6" s="14" t="s">
        <v>155</v>
      </c>
      <c r="C6" s="5">
        <f>'Base Case'!Q15</f>
        <v>663877.28612451768</v>
      </c>
      <c r="D6" s="5">
        <f>SUM('Scenario 1-Slow Collections'!D15:P15)</f>
        <v>581481.95737747382</v>
      </c>
      <c r="E6" s="5">
        <f>SUM('Scenario 2-Seasonal Pressure'!D15:P15)</f>
        <v>598252.24399692705</v>
      </c>
      <c r="F6" s="5">
        <f>SUM('Scenario 3-Process Improvement'!D15:P15)</f>
        <v>715542.98015358485</v>
      </c>
      <c r="G6" s="43" t="s">
        <v>156</v>
      </c>
    </row>
    <row r="7" spans="2:7" ht="18" customHeight="1" x14ac:dyDescent="0.3">
      <c r="B7" s="14" t="s">
        <v>157</v>
      </c>
      <c r="C7" s="5">
        <f>'Base Case'!Q25</f>
        <v>660453.14357646869</v>
      </c>
      <c r="D7" s="5">
        <f>SUM('Scenario 1-Slow Collections'!D25:P25)</f>
        <v>660453.14357646869</v>
      </c>
      <c r="E7" s="5">
        <f>SUM('Scenario 2-Seasonal Pressure'!D25:P25)</f>
        <v>636632.8761609199</v>
      </c>
      <c r="F7" s="5">
        <f>SUM('Scenario 3-Process Improvement'!D25:P25)</f>
        <v>635376.98417550838</v>
      </c>
      <c r="G7" s="43" t="s">
        <v>158</v>
      </c>
    </row>
    <row r="8" spans="2:7" ht="18" customHeight="1" x14ac:dyDescent="0.3">
      <c r="B8" s="14" t="s">
        <v>159</v>
      </c>
      <c r="C8" s="5">
        <f>'Base Case'!Q27</f>
        <v>3424.1425480489124</v>
      </c>
      <c r="D8" s="5">
        <f>SUM('Scenario 1-Slow Collections'!D27:P27)</f>
        <v>-78971.186198994925</v>
      </c>
      <c r="E8" s="5">
        <f>SUM('Scenario 2-Seasonal Pressure'!D27:P27)</f>
        <v>-38380.632163992785</v>
      </c>
      <c r="F8" s="5">
        <f>SUM('Scenario 3-Process Improvement'!D27:P27)</f>
        <v>80165.995978076302</v>
      </c>
      <c r="G8" s="43" t="s">
        <v>160</v>
      </c>
    </row>
    <row r="9" spans="2:7" x14ac:dyDescent="0.3">
      <c r="B9" s="14" t="s">
        <v>161</v>
      </c>
      <c r="C9" s="5">
        <f>'Base Case'!Q29</f>
        <v>325488.14254804887</v>
      </c>
      <c r="D9" s="5">
        <f>'Scenario 1-Slow Collections'!P29</f>
        <v>243092.81380100502</v>
      </c>
      <c r="E9" s="5">
        <f>'Scenario 2-Seasonal Pressure'!P29</f>
        <v>283683.36783600709</v>
      </c>
      <c r="F9" s="5">
        <f>'Scenario 3-Process Improvement'!P29</f>
        <v>402229.99597807624</v>
      </c>
      <c r="G9" s="43" t="s">
        <v>162</v>
      </c>
    </row>
    <row r="10" spans="2:7" ht="28.5" x14ac:dyDescent="0.3">
      <c r="B10" s="14" t="s">
        <v>197</v>
      </c>
      <c r="C10" s="5">
        <f>C9-$C$9</f>
        <v>0</v>
      </c>
      <c r="D10" s="5">
        <f t="shared" ref="D10:F10" si="0">D9-$C$9</f>
        <v>-82395.328747043852</v>
      </c>
      <c r="E10" s="5">
        <f t="shared" si="0"/>
        <v>-41804.774712041777</v>
      </c>
      <c r="F10" s="5">
        <f t="shared" si="0"/>
        <v>76741.853430027375</v>
      </c>
      <c r="G10" s="43" t="s">
        <v>208</v>
      </c>
    </row>
    <row r="11" spans="2:7" x14ac:dyDescent="0.3">
      <c r="B11" s="14" t="s">
        <v>163</v>
      </c>
      <c r="C11" s="5">
        <f>MIN('Base Case'!D31:P31)</f>
        <v>308044.07881981035</v>
      </c>
      <c r="D11" s="5">
        <f>MIN('Scenario 1-Slow Collections'!D31:P31)</f>
        <v>228092.81380100502</v>
      </c>
      <c r="E11" s="5">
        <f>MIN('Scenario 2-Seasonal Pressure'!D31:P31)</f>
        <v>268683.36783600709</v>
      </c>
      <c r="F11" s="5">
        <f>MIN('Scenario 3-Process Improvement'!D31:P31)</f>
        <v>320413.87569682515</v>
      </c>
      <c r="G11" s="43" t="s">
        <v>207</v>
      </c>
    </row>
    <row r="12" spans="2:7" ht="27.75" customHeight="1" x14ac:dyDescent="0.3">
      <c r="B12" s="14"/>
      <c r="C12" s="5"/>
      <c r="D12" s="5"/>
      <c r="E12" s="5"/>
      <c r="F12" s="5"/>
      <c r="G12" s="43"/>
    </row>
    <row r="13" spans="2:7" ht="18" customHeight="1" x14ac:dyDescent="0.3">
      <c r="B13" s="80" t="s">
        <v>200</v>
      </c>
      <c r="C13" s="80"/>
      <c r="D13" s="80"/>
      <c r="E13" s="80"/>
      <c r="F13" s="80"/>
      <c r="G13" s="81"/>
    </row>
    <row r="14" spans="2:7" ht="18" customHeight="1" x14ac:dyDescent="0.3">
      <c r="B14" s="82" t="s">
        <v>164</v>
      </c>
      <c r="C14" s="82"/>
      <c r="D14" s="82"/>
      <c r="E14" s="82"/>
      <c r="F14" s="82"/>
      <c r="G14" s="82"/>
    </row>
    <row r="15" spans="2:7" ht="51.75" customHeight="1" x14ac:dyDescent="0.3">
      <c r="B15" s="44" t="s">
        <v>201</v>
      </c>
      <c r="C15" s="44"/>
      <c r="D15" s="44"/>
      <c r="E15" s="44"/>
      <c r="F15" s="44"/>
      <c r="G15" s="44"/>
    </row>
    <row r="16" spans="2:7" ht="18" customHeight="1" x14ac:dyDescent="0.3">
      <c r="B16" s="82" t="s">
        <v>202</v>
      </c>
      <c r="C16" s="82"/>
      <c r="D16" s="82"/>
      <c r="E16" s="82"/>
      <c r="F16" s="82"/>
      <c r="G16" s="82"/>
    </row>
    <row r="17" spans="2:7" ht="51.75" customHeight="1" x14ac:dyDescent="0.3">
      <c r="B17" s="44" t="s">
        <v>203</v>
      </c>
      <c r="C17" s="44"/>
      <c r="D17" s="44"/>
      <c r="E17" s="44"/>
      <c r="F17" s="44"/>
      <c r="G17" s="44"/>
    </row>
    <row r="18" spans="2:7" ht="18" customHeight="1" x14ac:dyDescent="0.3">
      <c r="B18" s="82" t="s">
        <v>165</v>
      </c>
      <c r="C18" s="82"/>
      <c r="D18" s="82"/>
      <c r="E18" s="82"/>
      <c r="F18" s="82"/>
      <c r="G18" s="82"/>
    </row>
    <row r="19" spans="2:7" ht="51.75" customHeight="1" x14ac:dyDescent="0.3">
      <c r="B19" s="44" t="s">
        <v>204</v>
      </c>
      <c r="C19" s="44"/>
      <c r="D19" s="44"/>
      <c r="E19" s="44"/>
      <c r="F19" s="44"/>
      <c r="G19" s="44"/>
    </row>
    <row r="20" spans="2:7" ht="18" customHeight="1" x14ac:dyDescent="0.3">
      <c r="B20" s="82" t="s">
        <v>166</v>
      </c>
      <c r="C20" s="82"/>
      <c r="D20" s="82"/>
      <c r="E20" s="82"/>
      <c r="F20" s="82"/>
      <c r="G20" s="82"/>
    </row>
    <row r="21" spans="2:7" ht="51.75" customHeight="1" x14ac:dyDescent="0.3">
      <c r="B21" s="44" t="s">
        <v>205</v>
      </c>
      <c r="C21" s="44"/>
      <c r="D21" s="44"/>
      <c r="E21" s="44"/>
      <c r="F21" s="44"/>
      <c r="G21" s="44"/>
    </row>
  </sheetData>
  <mergeCells count="11">
    <mergeCell ref="B2:G2"/>
    <mergeCell ref="B3:G3"/>
    <mergeCell ref="B14:G14"/>
    <mergeCell ref="B15:G15"/>
    <mergeCell ref="B13:F13"/>
    <mergeCell ref="B21:G21"/>
    <mergeCell ref="B16:G16"/>
    <mergeCell ref="B17:G17"/>
    <mergeCell ref="B18:G18"/>
    <mergeCell ref="B19:G19"/>
    <mergeCell ref="B20:G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&amp; Assumptions</vt:lpstr>
      <vt:lpstr>Financial Statements</vt:lpstr>
      <vt:lpstr>Working Capital Trend Analysis</vt:lpstr>
      <vt:lpstr>Base Case</vt:lpstr>
      <vt:lpstr>Scenario 1-Slow Collections</vt:lpstr>
      <vt:lpstr>Scenario 2-Seasonal Pressure</vt:lpstr>
      <vt:lpstr>Scenario 3-Process Improvement</vt:lpstr>
      <vt:lpstr>Scenario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Serrano</cp:lastModifiedBy>
  <cp:revision>0</cp:revision>
  <dcterms:created xsi:type="dcterms:W3CDTF">2026-04-14T22:35:07Z</dcterms:created>
  <dcterms:modified xsi:type="dcterms:W3CDTF">2026-10-12T23:10:49Z</dcterms:modified>
  <dc:language>en-US</dc:language>
</cp:coreProperties>
</file>